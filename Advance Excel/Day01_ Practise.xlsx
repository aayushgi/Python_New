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8400"/>
  </bookViews>
  <sheets>
    <sheet name="Big_Messy_Data" sheetId="1" r:id="rId1"/>
  </sheets>
  <definedNames>
    <definedName name="_xlnm._FilterDatabase" localSheetId="0" hidden="1">Big_Messy_Data!$A$1:$O$1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<sst xmlns="http://schemas.openxmlformats.org/spreadsheetml/2006/main" count="520" uniqueCount="49">
  <si>
    <t>Customer_ID</t>
  </si>
  <si>
    <t>Name</t>
  </si>
  <si>
    <t>City</t>
  </si>
  <si>
    <t>state</t>
  </si>
  <si>
    <t>Sales</t>
  </si>
  <si>
    <t>Date</t>
  </si>
  <si>
    <t>Product</t>
  </si>
  <si>
    <t>Phone</t>
  </si>
  <si>
    <t>Salary</t>
  </si>
  <si>
    <t>Normal Sum</t>
  </si>
  <si>
    <t>Sum</t>
  </si>
  <si>
    <t>Sum if</t>
  </si>
  <si>
    <t>Sum ifs</t>
  </si>
  <si>
    <t>Count</t>
  </si>
  <si>
    <t>Count A</t>
  </si>
  <si>
    <t>count if</t>
  </si>
  <si>
    <t>Count if's</t>
  </si>
  <si>
    <t xml:space="preserve">for check blank </t>
  </si>
  <si>
    <t>nested if</t>
  </si>
  <si>
    <t>Bonus</t>
  </si>
  <si>
    <t>Vikas</t>
  </si>
  <si>
    <t>Delhi</t>
  </si>
  <si>
    <t>Uttar pardesh</t>
  </si>
  <si>
    <t>Laptop</t>
  </si>
  <si>
    <t>9876543210</t>
  </si>
  <si>
    <t>Riya</t>
  </si>
  <si>
    <t>Mumbai</t>
  </si>
  <si>
    <t>Maharashtra</t>
  </si>
  <si>
    <t xml:space="preserve"> 9123456780 </t>
  </si>
  <si>
    <t>Aman</t>
  </si>
  <si>
    <t>Kolkata</t>
  </si>
  <si>
    <t>Tamil Nadu</t>
  </si>
  <si>
    <t>Monitor</t>
  </si>
  <si>
    <t>Uttar Pradesh</t>
  </si>
  <si>
    <t>Mobile</t>
  </si>
  <si>
    <t>Rohit</t>
  </si>
  <si>
    <t>Tablet</t>
  </si>
  <si>
    <t>Sagar</t>
  </si>
  <si>
    <t>Chennai</t>
  </si>
  <si>
    <t>Simran</t>
  </si>
  <si>
    <t>Headphones</t>
  </si>
  <si>
    <t>Priya</t>
  </si>
  <si>
    <t>Neha</t>
  </si>
  <si>
    <t>Lucknow</t>
  </si>
  <si>
    <t>Rahul</t>
  </si>
  <si>
    <t>West Bengal</t>
  </si>
  <si>
    <t xml:space="preserve">Delhi </t>
  </si>
  <si>
    <t xml:space="preserve">Kolkata </t>
  </si>
  <si>
    <t>Ankit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</si>
</sst>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[$-409]d\-mmm\-yyyy;@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3">
    <xf numFmtId="0" fontId="0" fillId="0" borderId="0" xfId="0"/>
    <xf numFmtId="0" fontId="0" fillId="0" borderId="0" xfId="0" applyAlignment="1">
      <alignment horizontal="center"/>
    </xf>
    <xf numFmtId="178" fontId="0" fillId="0" borderId="0" xfId="0" applyNumberFormat="1"/>
    <xf numFmtId="176" fontId="0" fillId="0" borderId="0" xfId="1" applyAlignment="1"/>
    <xf numFmtId="0" fontId="1" fillId="0" borderId="0" xfId="0" applyFont="1"/>
    <xf numFmtId="0" fontId="1" fillId="0" borderId="0" xfId="0" applyFont="1" applyAlignment="1">
      <alignment horizontal="center"/>
    </xf>
    <xf numFmtId="178" fontId="1" fillId="0" borderId="0" xfId="0" applyNumberFormat="1" applyFont="1"/>
    <xf numFmtId="176" fontId="1" fillId="0" borderId="0" xfId="1" applyFont="1" applyAlignment="1"/>
    <xf numFmtId="0" fontId="0" fillId="0" borderId="1" xfId="0" applyBorder="1"/>
    <xf numFmtId="0" fontId="0" fillId="0" borderId="1" xfId="0" applyBorder="1" applyAlignment="1">
      <alignment horizontal="center"/>
    </xf>
    <xf numFmtId="178" fontId="0" fillId="0" borderId="1" xfId="0" applyNumberFormat="1" applyBorder="1"/>
    <xf numFmtId="176" fontId="0" fillId="0" borderId="1" xfId="1" applyBorder="1" applyAlignment="1"/>
    <xf numFmtId="0" fontId="0" fillId="0" borderId="1" xfId="0" applyNumberFormat="1" applyBorder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5"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102"/>
  <sheetViews>
    <sheetView tabSelected="1" zoomScale="88" zoomScaleNormal="88" topLeftCell="F1" workbookViewId="0">
      <selection activeCell="P2" sqref="P2"/>
    </sheetView>
  </sheetViews>
  <sheetFormatPr defaultColWidth="9" defaultRowHeight="14.4"/>
  <cols>
    <col min="1" max="1" width="16.6666666666667" customWidth="1"/>
    <col min="4" max="4" width="16.2222222222222" customWidth="1"/>
    <col min="5" max="5" width="9" style="1"/>
    <col min="6" max="6" width="14.2222222222222" style="2" customWidth="1"/>
    <col min="8" max="8" width="18.8888888888889" customWidth="1"/>
    <col min="9" max="9" width="12.8888888888889" style="3"/>
    <col min="10" max="10" width="13.6666666666667" customWidth="1"/>
    <col min="11" max="11" width="12.8888888888889"/>
    <col min="12" max="12" width="17" customWidth="1"/>
    <col min="13" max="13" width="12.8888888888889"/>
    <col min="18" max="18" width="14.2037037037037" customWidth="1"/>
  </cols>
  <sheetData>
    <row r="1" spans="1:22">
      <c r="A1" s="4" t="s">
        <v>0</v>
      </c>
      <c r="B1" s="4" t="s">
        <v>1</v>
      </c>
      <c r="C1" s="4" t="s">
        <v>2</v>
      </c>
      <c r="D1" s="4" t="s">
        <v>3</v>
      </c>
      <c r="E1" s="5" t="s">
        <v>4</v>
      </c>
      <c r="F1" s="6" t="s">
        <v>5</v>
      </c>
      <c r="G1" s="4" t="s">
        <v>6</v>
      </c>
      <c r="H1" s="4" t="s">
        <v>7</v>
      </c>
      <c r="I1" s="7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U1" s="4" t="s">
        <v>18</v>
      </c>
      <c r="V1" s="4" t="s">
        <v>19</v>
      </c>
    </row>
    <row r="2" spans="1:22">
      <c r="A2" s="8">
        <v>3</v>
      </c>
      <c r="B2" s="8" t="s">
        <v>20</v>
      </c>
      <c r="C2" s="8" t="s">
        <v>21</v>
      </c>
      <c r="D2" s="8" t="s">
        <v>22</v>
      </c>
      <c r="E2" s="9"/>
      <c r="F2" s="10">
        <v>46115</v>
      </c>
      <c r="G2" s="8" t="s">
        <v>23</v>
      </c>
      <c r="H2" s="8" t="s">
        <v>24</v>
      </c>
      <c r="I2" s="11">
        <v>45600</v>
      </c>
      <c r="J2" s="8">
        <f>I2+I6</f>
        <v>106254.79047619</v>
      </c>
      <c r="K2">
        <f>SUM(I7:I12)</f>
        <v>382271</v>
      </c>
      <c r="L2">
        <f>SUMIF(E1:E101,"&gt;6000",I1:I101)</f>
        <v>1844050.2</v>
      </c>
      <c r="M2">
        <f>SUMIFS(I2:I101,E2:E101,"&gt;6000",D2:D101,"Uttar pradesh")</f>
        <v>260066.885714286</v>
      </c>
      <c r="N2">
        <f>COUNT(E1:E101)</f>
        <v>44</v>
      </c>
      <c r="O2">
        <f>COUNTA(E2:E101)</f>
        <v>44</v>
      </c>
      <c r="P2">
        <f>COUNTIF(D2:D101,"Uttar pardesh")</f>
        <v>38</v>
      </c>
      <c r="Q2">
        <f>COUNTIFS(D2:D101,"Uttar Pardesh",E2:E101,"&gt;9000")</f>
        <v>3</v>
      </c>
      <c r="R2" t="b">
        <f>NOT(ISBLANK(E2))</f>
        <v>0</v>
      </c>
      <c r="S2" t="b">
        <f>NOT(R2)</f>
        <v>1</v>
      </c>
      <c r="T2">
        <f>IF(NOT(ISBLANK(I2)),SUMIF(E2:E101,"&gt;10000",I2:I101),"no salary")</f>
        <v>0</v>
      </c>
      <c r="V2" t="str">
        <f>IF(E2&gt;=8000,"10000",IF(E2&gt;=5000,"5000",IF(E2&lt;5000,"0")))</f>
        <v>0</v>
      </c>
    </row>
    <row r="3" spans="1:22">
      <c r="A3" s="8">
        <v>5</v>
      </c>
      <c r="B3" s="8" t="s">
        <v>25</v>
      </c>
      <c r="C3" s="8" t="s">
        <v>26</v>
      </c>
      <c r="D3" s="8" t="s">
        <v>27</v>
      </c>
      <c r="E3" s="9"/>
      <c r="F3" s="10">
        <v>46117</v>
      </c>
      <c r="G3" s="8" t="s">
        <v>23</v>
      </c>
      <c r="H3" s="8" t="s">
        <v>28</v>
      </c>
      <c r="I3" s="11">
        <v>43000</v>
      </c>
      <c r="J3" s="8"/>
      <c r="R3" t="b">
        <f t="shared" ref="R3:R34" si="0">NOT(ISBLANK(E3))</f>
        <v>0</v>
      </c>
      <c r="S3" t="b">
        <f t="shared" ref="S3:S34" si="1">NOT(R3)</f>
        <v>1</v>
      </c>
      <c r="T3">
        <f t="shared" ref="T3:T34" si="2">IF(NOT(ISBLANK(I3)),SUMIF(E3:E102,"&gt;10000",I3:I102),"no salary")</f>
        <v>0</v>
      </c>
      <c r="V3" t="str">
        <f t="shared" ref="V3:V34" si="3">IF(E3&gt;=8000,"10000",IF(E3&gt;=5000,"5000",IF(E3&lt;5000,"0")))</f>
        <v>0</v>
      </c>
    </row>
    <row r="4" spans="1:22">
      <c r="A4" s="8">
        <v>6</v>
      </c>
      <c r="B4" s="8" t="s">
        <v>29</v>
      </c>
      <c r="C4" s="8" t="s">
        <v>30</v>
      </c>
      <c r="D4" s="8" t="s">
        <v>31</v>
      </c>
      <c r="E4" s="9"/>
      <c r="F4" s="10">
        <v>46118</v>
      </c>
      <c r="G4" s="8" t="s">
        <v>32</v>
      </c>
      <c r="H4" s="8" t="s">
        <v>28</v>
      </c>
      <c r="I4" s="11">
        <v>68764</v>
      </c>
      <c r="J4" s="8"/>
      <c r="R4" t="b">
        <f t="shared" si="0"/>
        <v>0</v>
      </c>
      <c r="S4" t="b">
        <f t="shared" si="1"/>
        <v>1</v>
      </c>
      <c r="T4">
        <f t="shared" si="2"/>
        <v>0</v>
      </c>
      <c r="V4" t="str">
        <f t="shared" si="3"/>
        <v>0</v>
      </c>
    </row>
    <row r="5" spans="1:22">
      <c r="A5" s="8">
        <v>7</v>
      </c>
      <c r="B5" s="8" t="s">
        <v>29</v>
      </c>
      <c r="C5" s="8" t="s">
        <v>21</v>
      </c>
      <c r="D5" s="8" t="s">
        <v>33</v>
      </c>
      <c r="E5" s="9"/>
      <c r="F5" s="10">
        <v>46119</v>
      </c>
      <c r="G5" s="8" t="s">
        <v>34</v>
      </c>
      <c r="H5" s="8" t="s">
        <v>28</v>
      </c>
      <c r="I5" s="11">
        <v>58879.7333333333</v>
      </c>
      <c r="J5" s="8"/>
      <c r="R5" t="b">
        <f t="shared" si="0"/>
        <v>0</v>
      </c>
      <c r="S5" t="b">
        <f t="shared" si="1"/>
        <v>1</v>
      </c>
      <c r="T5">
        <f t="shared" si="2"/>
        <v>0</v>
      </c>
      <c r="V5" t="str">
        <f t="shared" si="3"/>
        <v>0</v>
      </c>
    </row>
    <row r="6" spans="1:22">
      <c r="A6" s="8">
        <v>9</v>
      </c>
      <c r="B6" s="8" t="s">
        <v>35</v>
      </c>
      <c r="C6" s="8" t="s">
        <v>21</v>
      </c>
      <c r="D6" s="8" t="s">
        <v>33</v>
      </c>
      <c r="E6" s="9"/>
      <c r="F6" s="10">
        <v>46122</v>
      </c>
      <c r="G6" s="8" t="s">
        <v>36</v>
      </c>
      <c r="H6" s="8" t="s">
        <v>24</v>
      </c>
      <c r="I6" s="11">
        <v>60654.7904761905</v>
      </c>
      <c r="J6" s="8"/>
      <c r="R6" t="b">
        <f t="shared" si="0"/>
        <v>0</v>
      </c>
      <c r="S6" t="b">
        <f t="shared" si="1"/>
        <v>1</v>
      </c>
      <c r="T6">
        <f t="shared" si="2"/>
        <v>0</v>
      </c>
      <c r="V6" t="str">
        <f t="shared" si="3"/>
        <v>0</v>
      </c>
    </row>
    <row r="7" spans="1:22">
      <c r="A7" s="8">
        <v>12</v>
      </c>
      <c r="B7" s="8" t="s">
        <v>37</v>
      </c>
      <c r="C7" s="8" t="s">
        <v>38</v>
      </c>
      <c r="D7" s="8" t="s">
        <v>22</v>
      </c>
      <c r="E7" s="9"/>
      <c r="F7" s="10">
        <v>46124</v>
      </c>
      <c r="G7" s="8" t="s">
        <v>36</v>
      </c>
      <c r="H7" s="8" t="s">
        <v>24</v>
      </c>
      <c r="I7" s="11">
        <v>61838.1619047619</v>
      </c>
      <c r="J7" s="8"/>
      <c r="R7" t="b">
        <f t="shared" si="0"/>
        <v>0</v>
      </c>
      <c r="S7" t="b">
        <f t="shared" si="1"/>
        <v>1</v>
      </c>
      <c r="T7">
        <f t="shared" si="2"/>
        <v>0</v>
      </c>
      <c r="V7" t="str">
        <f t="shared" si="3"/>
        <v>0</v>
      </c>
    </row>
    <row r="8" spans="1:22">
      <c r="A8" s="8">
        <v>13</v>
      </c>
      <c r="B8" s="8" t="s">
        <v>39</v>
      </c>
      <c r="C8" s="8" t="s">
        <v>30</v>
      </c>
      <c r="D8" s="8" t="s">
        <v>33</v>
      </c>
      <c r="E8" s="9"/>
      <c r="F8" s="10">
        <v>46125</v>
      </c>
      <c r="G8" s="8" t="s">
        <v>40</v>
      </c>
      <c r="H8" s="8" t="s">
        <v>24</v>
      </c>
      <c r="I8" s="11">
        <v>62429.8476190476</v>
      </c>
      <c r="J8" s="8"/>
      <c r="R8" t="b">
        <f t="shared" si="0"/>
        <v>0</v>
      </c>
      <c r="S8" t="b">
        <f t="shared" si="1"/>
        <v>1</v>
      </c>
      <c r="T8">
        <f t="shared" si="2"/>
        <v>0</v>
      </c>
      <c r="V8" t="str">
        <f t="shared" si="3"/>
        <v>0</v>
      </c>
    </row>
    <row r="9" spans="1:22">
      <c r="A9" s="8">
        <v>15</v>
      </c>
      <c r="B9" s="8" t="s">
        <v>41</v>
      </c>
      <c r="C9" s="8" t="s">
        <v>26</v>
      </c>
      <c r="D9" s="8" t="s">
        <v>22</v>
      </c>
      <c r="E9" s="9"/>
      <c r="F9" s="10">
        <v>46127</v>
      </c>
      <c r="G9" s="8" t="s">
        <v>40</v>
      </c>
      <c r="H9" s="8" t="s">
        <v>28</v>
      </c>
      <c r="I9" s="11">
        <v>63613.219047619</v>
      </c>
      <c r="J9" s="8"/>
      <c r="R9" t="b">
        <f t="shared" si="0"/>
        <v>0</v>
      </c>
      <c r="S9" t="b">
        <f t="shared" si="1"/>
        <v>1</v>
      </c>
      <c r="T9">
        <f t="shared" si="2"/>
        <v>0</v>
      </c>
      <c r="V9" t="str">
        <f t="shared" si="3"/>
        <v>0</v>
      </c>
    </row>
    <row r="10" spans="1:22">
      <c r="A10" s="8">
        <v>16</v>
      </c>
      <c r="B10" s="8" t="s">
        <v>42</v>
      </c>
      <c r="C10" s="8" t="s">
        <v>43</v>
      </c>
      <c r="D10" s="8" t="s">
        <v>31</v>
      </c>
      <c r="E10" s="9"/>
      <c r="F10" s="10">
        <v>46128</v>
      </c>
      <c r="G10" s="8" t="s">
        <v>23</v>
      </c>
      <c r="H10" s="8" t="s">
        <v>28</v>
      </c>
      <c r="I10" s="11">
        <v>64204.9047619048</v>
      </c>
      <c r="J10" s="8"/>
      <c r="R10" t="b">
        <f t="shared" si="0"/>
        <v>0</v>
      </c>
      <c r="S10" t="b">
        <f t="shared" si="1"/>
        <v>1</v>
      </c>
      <c r="T10">
        <f t="shared" si="2"/>
        <v>0</v>
      </c>
      <c r="V10" t="str">
        <f t="shared" si="3"/>
        <v>0</v>
      </c>
    </row>
    <row r="11" spans="1:22">
      <c r="A11" s="8">
        <v>17</v>
      </c>
      <c r="B11" s="8" t="s">
        <v>42</v>
      </c>
      <c r="C11" s="8" t="s">
        <v>43</v>
      </c>
      <c r="D11" s="8" t="s">
        <v>22</v>
      </c>
      <c r="E11" s="9"/>
      <c r="F11" s="10">
        <v>46129</v>
      </c>
      <c r="G11" s="8" t="s">
        <v>34</v>
      </c>
      <c r="H11" s="8" t="s">
        <v>28</v>
      </c>
      <c r="I11" s="11">
        <v>64796.5904761905</v>
      </c>
      <c r="J11" s="8"/>
      <c r="R11" t="b">
        <f t="shared" si="0"/>
        <v>0</v>
      </c>
      <c r="S11" t="b">
        <f t="shared" si="1"/>
        <v>1</v>
      </c>
      <c r="T11">
        <f t="shared" si="2"/>
        <v>0</v>
      </c>
      <c r="V11" t="str">
        <f t="shared" si="3"/>
        <v>0</v>
      </c>
    </row>
    <row r="12" spans="1:22">
      <c r="A12" s="8">
        <v>18</v>
      </c>
      <c r="B12" s="8" t="s">
        <v>37</v>
      </c>
      <c r="C12" s="8" t="s">
        <v>21</v>
      </c>
      <c r="D12" s="8" t="s">
        <v>22</v>
      </c>
      <c r="E12" s="9"/>
      <c r="F12" s="10">
        <v>46130</v>
      </c>
      <c r="G12" s="8" t="s">
        <v>34</v>
      </c>
      <c r="H12" s="8" t="s">
        <v>28</v>
      </c>
      <c r="I12" s="11">
        <v>65388.2761904762</v>
      </c>
      <c r="J12" s="8"/>
      <c r="R12" t="b">
        <f t="shared" si="0"/>
        <v>0</v>
      </c>
      <c r="S12" t="b">
        <f t="shared" si="1"/>
        <v>1</v>
      </c>
      <c r="T12">
        <f t="shared" si="2"/>
        <v>0</v>
      </c>
      <c r="V12" t="str">
        <f t="shared" si="3"/>
        <v>0</v>
      </c>
    </row>
    <row r="13" spans="1:22">
      <c r="A13" s="8">
        <v>22</v>
      </c>
      <c r="B13" s="8" t="s">
        <v>44</v>
      </c>
      <c r="C13" s="8" t="s">
        <v>26</v>
      </c>
      <c r="D13" s="8" t="s">
        <v>22</v>
      </c>
      <c r="E13" s="9"/>
      <c r="F13" s="10">
        <v>46134</v>
      </c>
      <c r="G13" s="8" t="s">
        <v>40</v>
      </c>
      <c r="H13" s="8" t="s">
        <v>24</v>
      </c>
      <c r="I13" s="11">
        <v>67755.019047619</v>
      </c>
      <c r="J13" s="8"/>
      <c r="R13" t="b">
        <f t="shared" si="0"/>
        <v>0</v>
      </c>
      <c r="S13" t="b">
        <f t="shared" si="1"/>
        <v>1</v>
      </c>
      <c r="T13">
        <f t="shared" si="2"/>
        <v>0</v>
      </c>
      <c r="V13" t="str">
        <f t="shared" si="3"/>
        <v>0</v>
      </c>
    </row>
    <row r="14" spans="1:22">
      <c r="A14" s="8">
        <v>25</v>
      </c>
      <c r="B14" s="8" t="s">
        <v>29</v>
      </c>
      <c r="C14" s="8" t="s">
        <v>21</v>
      </c>
      <c r="D14" s="8" t="s">
        <v>31</v>
      </c>
      <c r="E14" s="9"/>
      <c r="F14" s="10">
        <v>46137</v>
      </c>
      <c r="G14" s="8" t="s">
        <v>34</v>
      </c>
      <c r="H14" s="8" t="s">
        <v>28</v>
      </c>
      <c r="I14" s="11">
        <v>69530.0761904762</v>
      </c>
      <c r="J14" s="8"/>
      <c r="R14" t="b">
        <f t="shared" si="0"/>
        <v>0</v>
      </c>
      <c r="S14" t="b">
        <f t="shared" si="1"/>
        <v>1</v>
      </c>
      <c r="T14">
        <f t="shared" si="2"/>
        <v>0</v>
      </c>
      <c r="V14" t="str">
        <f t="shared" si="3"/>
        <v>0</v>
      </c>
    </row>
    <row r="15" spans="1:22">
      <c r="A15" s="8">
        <v>28</v>
      </c>
      <c r="B15" s="8" t="s">
        <v>41</v>
      </c>
      <c r="C15" s="8" t="s">
        <v>43</v>
      </c>
      <c r="D15" s="8" t="s">
        <v>45</v>
      </c>
      <c r="E15" s="9"/>
      <c r="F15" s="10">
        <v>46140</v>
      </c>
      <c r="G15" s="8" t="s">
        <v>34</v>
      </c>
      <c r="H15" s="8" t="s">
        <v>24</v>
      </c>
      <c r="I15" s="11">
        <v>71305.1333333333</v>
      </c>
      <c r="J15" s="8"/>
      <c r="R15" t="b">
        <f t="shared" si="0"/>
        <v>0</v>
      </c>
      <c r="S15" t="b">
        <f t="shared" si="1"/>
        <v>1</v>
      </c>
      <c r="T15">
        <f t="shared" si="2"/>
        <v>0</v>
      </c>
      <c r="V15" t="str">
        <f t="shared" si="3"/>
        <v>0</v>
      </c>
    </row>
    <row r="16" spans="1:22">
      <c r="A16" s="8">
        <v>29</v>
      </c>
      <c r="B16" s="8" t="s">
        <v>25</v>
      </c>
      <c r="C16" s="8" t="s">
        <v>26</v>
      </c>
      <c r="D16" s="8" t="s">
        <v>22</v>
      </c>
      <c r="E16" s="9"/>
      <c r="F16" s="10">
        <v>46142</v>
      </c>
      <c r="G16" s="8" t="s">
        <v>40</v>
      </c>
      <c r="H16" s="8" t="s">
        <v>28</v>
      </c>
      <c r="I16" s="11">
        <v>72488.5047619048</v>
      </c>
      <c r="J16" s="8"/>
      <c r="R16" t="b">
        <f t="shared" si="0"/>
        <v>0</v>
      </c>
      <c r="S16" t="b">
        <f t="shared" si="1"/>
        <v>1</v>
      </c>
      <c r="T16">
        <f t="shared" si="2"/>
        <v>0</v>
      </c>
      <c r="V16" t="str">
        <f t="shared" si="3"/>
        <v>0</v>
      </c>
    </row>
    <row r="17" spans="1:22">
      <c r="A17" s="8">
        <v>33</v>
      </c>
      <c r="B17" s="8" t="s">
        <v>39</v>
      </c>
      <c r="C17" s="8" t="s">
        <v>46</v>
      </c>
      <c r="D17" s="8" t="s">
        <v>22</v>
      </c>
      <c r="E17" s="9"/>
      <c r="F17" s="10">
        <v>46145</v>
      </c>
      <c r="G17" s="8" t="s">
        <v>23</v>
      </c>
      <c r="H17" s="8" t="s">
        <v>28</v>
      </c>
      <c r="I17" s="11">
        <v>74263.5619047619</v>
      </c>
      <c r="J17" s="8"/>
      <c r="R17" t="b">
        <f t="shared" si="0"/>
        <v>0</v>
      </c>
      <c r="S17" t="b">
        <f t="shared" si="1"/>
        <v>1</v>
      </c>
      <c r="T17">
        <f t="shared" si="2"/>
        <v>0</v>
      </c>
      <c r="V17" t="str">
        <f t="shared" si="3"/>
        <v>0</v>
      </c>
    </row>
    <row r="18" spans="1:22">
      <c r="A18" s="8">
        <v>36</v>
      </c>
      <c r="B18" s="8" t="s">
        <v>37</v>
      </c>
      <c r="C18" s="8" t="s">
        <v>26</v>
      </c>
      <c r="D18" s="8" t="s">
        <v>33</v>
      </c>
      <c r="E18" s="9"/>
      <c r="F18" s="10">
        <v>46148</v>
      </c>
      <c r="G18" s="8" t="s">
        <v>34</v>
      </c>
      <c r="H18" s="8" t="s">
        <v>28</v>
      </c>
      <c r="I18" s="11">
        <v>76038.6190476191</v>
      </c>
      <c r="J18" s="8"/>
      <c r="R18" t="b">
        <f t="shared" si="0"/>
        <v>0</v>
      </c>
      <c r="S18" t="b">
        <f t="shared" si="1"/>
        <v>1</v>
      </c>
      <c r="T18">
        <f t="shared" si="2"/>
        <v>0</v>
      </c>
      <c r="V18" t="str">
        <f t="shared" si="3"/>
        <v>0</v>
      </c>
    </row>
    <row r="19" spans="1:22">
      <c r="A19" s="8">
        <v>37</v>
      </c>
      <c r="B19" s="8" t="s">
        <v>37</v>
      </c>
      <c r="C19" s="8" t="s">
        <v>38</v>
      </c>
      <c r="D19" s="8" t="s">
        <v>33</v>
      </c>
      <c r="E19" s="9"/>
      <c r="F19" s="10">
        <v>46149</v>
      </c>
      <c r="G19" s="8" t="s">
        <v>40</v>
      </c>
      <c r="H19" s="8" t="s">
        <v>24</v>
      </c>
      <c r="I19" s="11">
        <v>76630.3047619048</v>
      </c>
      <c r="J19" s="8"/>
      <c r="R19" t="b">
        <f t="shared" si="0"/>
        <v>0</v>
      </c>
      <c r="S19" t="b">
        <f t="shared" si="1"/>
        <v>1</v>
      </c>
      <c r="T19">
        <f t="shared" si="2"/>
        <v>0</v>
      </c>
      <c r="V19" t="str">
        <f t="shared" si="3"/>
        <v>0</v>
      </c>
    </row>
    <row r="20" spans="1:22">
      <c r="A20" s="8">
        <v>38</v>
      </c>
      <c r="B20" s="8" t="s">
        <v>35</v>
      </c>
      <c r="C20" s="8" t="s">
        <v>38</v>
      </c>
      <c r="D20" s="8" t="s">
        <v>33</v>
      </c>
      <c r="E20" s="9"/>
      <c r="F20" s="10">
        <v>46150</v>
      </c>
      <c r="G20" s="8" t="s">
        <v>23</v>
      </c>
      <c r="H20" s="8" t="s">
        <v>24</v>
      </c>
      <c r="I20" s="11">
        <v>77221.9904761905</v>
      </c>
      <c r="J20" s="8"/>
      <c r="R20" t="b">
        <f t="shared" si="0"/>
        <v>0</v>
      </c>
      <c r="S20" t="b">
        <f t="shared" si="1"/>
        <v>1</v>
      </c>
      <c r="T20">
        <f t="shared" si="2"/>
        <v>0</v>
      </c>
      <c r="V20" t="str">
        <f t="shared" si="3"/>
        <v>0</v>
      </c>
    </row>
    <row r="21" spans="1:22">
      <c r="A21" s="8">
        <v>39</v>
      </c>
      <c r="B21" s="8" t="s">
        <v>25</v>
      </c>
      <c r="C21" s="8" t="s">
        <v>46</v>
      </c>
      <c r="D21" s="8" t="s">
        <v>27</v>
      </c>
      <c r="E21" s="9"/>
      <c r="F21" s="10">
        <v>46151</v>
      </c>
      <c r="G21" s="8" t="s">
        <v>40</v>
      </c>
      <c r="H21" s="8" t="s">
        <v>28</v>
      </c>
      <c r="I21" s="11">
        <v>77813.6761904762</v>
      </c>
      <c r="J21" s="8"/>
      <c r="R21" t="b">
        <f t="shared" si="0"/>
        <v>0</v>
      </c>
      <c r="S21" t="b">
        <f t="shared" si="1"/>
        <v>1</v>
      </c>
      <c r="T21">
        <f t="shared" si="2"/>
        <v>0</v>
      </c>
      <c r="V21" t="str">
        <f t="shared" si="3"/>
        <v>0</v>
      </c>
    </row>
    <row r="22" spans="1:22">
      <c r="A22" s="8">
        <v>41</v>
      </c>
      <c r="B22" s="8" t="s">
        <v>25</v>
      </c>
      <c r="C22" s="8" t="s">
        <v>38</v>
      </c>
      <c r="D22" s="8" t="s">
        <v>22</v>
      </c>
      <c r="E22" s="9"/>
      <c r="F22" s="10">
        <v>46153</v>
      </c>
      <c r="G22" s="8" t="s">
        <v>32</v>
      </c>
      <c r="H22" s="8" t="s">
        <v>24</v>
      </c>
      <c r="I22" s="11">
        <v>78997.0476190476</v>
      </c>
      <c r="J22" s="8"/>
      <c r="R22" t="b">
        <f t="shared" si="0"/>
        <v>0</v>
      </c>
      <c r="S22" t="b">
        <f t="shared" si="1"/>
        <v>1</v>
      </c>
      <c r="T22">
        <f t="shared" si="2"/>
        <v>0</v>
      </c>
      <c r="V22" t="str">
        <f t="shared" si="3"/>
        <v>0</v>
      </c>
    </row>
    <row r="23" spans="1:22">
      <c r="A23" s="8">
        <v>44</v>
      </c>
      <c r="B23" s="8" t="s">
        <v>29</v>
      </c>
      <c r="C23" s="8" t="s">
        <v>43</v>
      </c>
      <c r="D23" s="8" t="s">
        <v>22</v>
      </c>
      <c r="E23" s="9"/>
      <c r="F23" s="10">
        <v>46156</v>
      </c>
      <c r="G23" s="8" t="s">
        <v>40</v>
      </c>
      <c r="H23" s="8" t="s">
        <v>28</v>
      </c>
      <c r="I23" s="11">
        <v>80772.1047619048</v>
      </c>
      <c r="J23" s="8"/>
      <c r="R23" t="b">
        <f t="shared" si="0"/>
        <v>0</v>
      </c>
      <c r="S23" t="b">
        <f t="shared" si="1"/>
        <v>1</v>
      </c>
      <c r="T23">
        <f t="shared" si="2"/>
        <v>0</v>
      </c>
      <c r="V23" t="str">
        <f t="shared" si="3"/>
        <v>0</v>
      </c>
    </row>
    <row r="24" spans="1:22">
      <c r="A24" s="8">
        <v>45</v>
      </c>
      <c r="B24" s="8" t="s">
        <v>37</v>
      </c>
      <c r="C24" s="8" t="s">
        <v>38</v>
      </c>
      <c r="D24" s="8" t="s">
        <v>27</v>
      </c>
      <c r="E24" s="9"/>
      <c r="F24" s="10">
        <v>46157</v>
      </c>
      <c r="G24" s="8" t="s">
        <v>36</v>
      </c>
      <c r="H24" s="8" t="s">
        <v>28</v>
      </c>
      <c r="I24" s="11">
        <v>81363.7904761905</v>
      </c>
      <c r="J24" s="8"/>
      <c r="R24" t="b">
        <f t="shared" si="0"/>
        <v>0</v>
      </c>
      <c r="S24" t="b">
        <f t="shared" si="1"/>
        <v>1</v>
      </c>
      <c r="T24">
        <f t="shared" si="2"/>
        <v>0</v>
      </c>
      <c r="V24" t="str">
        <f t="shared" si="3"/>
        <v>0</v>
      </c>
    </row>
    <row r="25" spans="1:22">
      <c r="A25" s="8">
        <v>46</v>
      </c>
      <c r="B25" s="8" t="s">
        <v>35</v>
      </c>
      <c r="C25" s="8" t="s">
        <v>38</v>
      </c>
      <c r="D25" s="8" t="s">
        <v>45</v>
      </c>
      <c r="E25" s="9"/>
      <c r="F25" s="10">
        <v>46158</v>
      </c>
      <c r="G25" s="8" t="s">
        <v>36</v>
      </c>
      <c r="H25" s="8" t="s">
        <v>28</v>
      </c>
      <c r="I25" s="11">
        <v>81955.4761904762</v>
      </c>
      <c r="J25" s="8"/>
      <c r="R25" t="b">
        <f t="shared" si="0"/>
        <v>0</v>
      </c>
      <c r="S25" t="b">
        <f t="shared" si="1"/>
        <v>1</v>
      </c>
      <c r="T25">
        <f t="shared" si="2"/>
        <v>0</v>
      </c>
      <c r="V25" t="str">
        <f t="shared" si="3"/>
        <v>0</v>
      </c>
    </row>
    <row r="26" spans="1:22">
      <c r="A26" s="8">
        <v>48</v>
      </c>
      <c r="B26" s="8" t="s">
        <v>20</v>
      </c>
      <c r="C26" s="8" t="s">
        <v>30</v>
      </c>
      <c r="D26" s="8" t="s">
        <v>33</v>
      </c>
      <c r="E26" s="9"/>
      <c r="F26" s="10">
        <v>46160</v>
      </c>
      <c r="G26" s="8" t="s">
        <v>23</v>
      </c>
      <c r="H26" s="8" t="s">
        <v>24</v>
      </c>
      <c r="I26" s="11">
        <v>83138.8476190476</v>
      </c>
      <c r="J26" s="8"/>
      <c r="R26" t="b">
        <f t="shared" si="0"/>
        <v>0</v>
      </c>
      <c r="S26" t="b">
        <f t="shared" si="1"/>
        <v>1</v>
      </c>
      <c r="T26">
        <f t="shared" si="2"/>
        <v>0</v>
      </c>
      <c r="V26" t="str">
        <f t="shared" si="3"/>
        <v>0</v>
      </c>
    </row>
    <row r="27" spans="1:22">
      <c r="A27" s="8">
        <v>49</v>
      </c>
      <c r="B27" s="8" t="s">
        <v>35</v>
      </c>
      <c r="C27" s="8" t="s">
        <v>47</v>
      </c>
      <c r="D27" s="8" t="s">
        <v>33</v>
      </c>
      <c r="E27" s="9"/>
      <c r="F27" s="10">
        <v>46161</v>
      </c>
      <c r="G27" s="8" t="s">
        <v>23</v>
      </c>
      <c r="H27" s="8" t="s">
        <v>24</v>
      </c>
      <c r="I27" s="11">
        <v>83730.5333333333</v>
      </c>
      <c r="J27" s="8"/>
      <c r="R27" t="b">
        <f t="shared" si="0"/>
        <v>0</v>
      </c>
      <c r="S27" t="b">
        <f t="shared" si="1"/>
        <v>1</v>
      </c>
      <c r="T27">
        <f t="shared" si="2"/>
        <v>0</v>
      </c>
      <c r="V27" t="str">
        <f t="shared" si="3"/>
        <v>0</v>
      </c>
    </row>
    <row r="28" spans="1:22">
      <c r="A28" s="8">
        <v>51</v>
      </c>
      <c r="B28" s="8" t="s">
        <v>48</v>
      </c>
      <c r="C28" s="8" t="s">
        <v>26</v>
      </c>
      <c r="D28" s="8" t="s">
        <v>22</v>
      </c>
      <c r="E28" s="9"/>
      <c r="F28" s="10">
        <v>46163</v>
      </c>
      <c r="G28" s="8" t="s">
        <v>40</v>
      </c>
      <c r="H28" s="8" t="s">
        <v>24</v>
      </c>
      <c r="I28" s="11">
        <v>84913.9047619048</v>
      </c>
      <c r="J28" s="8"/>
      <c r="R28" t="b">
        <f t="shared" si="0"/>
        <v>0</v>
      </c>
      <c r="S28" t="b">
        <f t="shared" si="1"/>
        <v>1</v>
      </c>
      <c r="T28">
        <f t="shared" si="2"/>
        <v>0</v>
      </c>
      <c r="V28" t="str">
        <f t="shared" si="3"/>
        <v>0</v>
      </c>
    </row>
    <row r="29" spans="1:22">
      <c r="A29" s="8">
        <v>53</v>
      </c>
      <c r="B29" s="8" t="s">
        <v>35</v>
      </c>
      <c r="C29" s="8" t="s">
        <v>38</v>
      </c>
      <c r="D29" s="8" t="s">
        <v>22</v>
      </c>
      <c r="E29" s="9"/>
      <c r="F29" s="10">
        <v>46165</v>
      </c>
      <c r="G29" s="8" t="s">
        <v>23</v>
      </c>
      <c r="H29" s="8" t="s">
        <v>24</v>
      </c>
      <c r="I29" s="11">
        <v>86097.2761904762</v>
      </c>
      <c r="J29" s="8"/>
      <c r="R29" t="b">
        <f t="shared" si="0"/>
        <v>0</v>
      </c>
      <c r="S29" t="b">
        <f t="shared" si="1"/>
        <v>1</v>
      </c>
      <c r="T29">
        <f t="shared" si="2"/>
        <v>0</v>
      </c>
      <c r="V29" t="str">
        <f t="shared" si="3"/>
        <v>0</v>
      </c>
    </row>
    <row r="30" spans="1:22">
      <c r="A30" s="8">
        <v>54</v>
      </c>
      <c r="B30" s="8" t="s">
        <v>35</v>
      </c>
      <c r="C30" s="8" t="s">
        <v>21</v>
      </c>
      <c r="D30" s="8" t="s">
        <v>22</v>
      </c>
      <c r="E30" s="9"/>
      <c r="F30" s="10">
        <v>46166</v>
      </c>
      <c r="G30" s="8" t="s">
        <v>40</v>
      </c>
      <c r="H30" s="8" t="s">
        <v>28</v>
      </c>
      <c r="I30" s="11">
        <v>86688.9619047619</v>
      </c>
      <c r="J30" s="8"/>
      <c r="R30" t="b">
        <f t="shared" si="0"/>
        <v>0</v>
      </c>
      <c r="S30" t="b">
        <f t="shared" si="1"/>
        <v>1</v>
      </c>
      <c r="T30">
        <f t="shared" si="2"/>
        <v>0</v>
      </c>
      <c r="V30" t="str">
        <f t="shared" si="3"/>
        <v>0</v>
      </c>
    </row>
    <row r="31" spans="1:22">
      <c r="A31" s="8">
        <v>55</v>
      </c>
      <c r="B31" s="8" t="s">
        <v>20</v>
      </c>
      <c r="C31" s="8" t="s">
        <v>21</v>
      </c>
      <c r="D31" s="8" t="s">
        <v>33</v>
      </c>
      <c r="E31" s="9"/>
      <c r="F31" s="10">
        <v>46167</v>
      </c>
      <c r="G31" s="8" t="s">
        <v>23</v>
      </c>
      <c r="H31" s="8" t="s">
        <v>24</v>
      </c>
      <c r="I31" s="11">
        <v>87280.6476190476</v>
      </c>
      <c r="J31" s="8"/>
      <c r="R31" t="b">
        <f t="shared" si="0"/>
        <v>0</v>
      </c>
      <c r="S31" t="b">
        <f t="shared" si="1"/>
        <v>1</v>
      </c>
      <c r="T31">
        <f t="shared" si="2"/>
        <v>0</v>
      </c>
      <c r="V31" t="str">
        <f t="shared" si="3"/>
        <v>0</v>
      </c>
    </row>
    <row r="32" spans="1:22">
      <c r="A32" s="8">
        <v>59</v>
      </c>
      <c r="B32" s="8" t="s">
        <v>39</v>
      </c>
      <c r="C32" s="8" t="s">
        <v>47</v>
      </c>
      <c r="D32" s="8" t="s">
        <v>22</v>
      </c>
      <c r="E32" s="9"/>
      <c r="F32" s="10">
        <v>46171</v>
      </c>
      <c r="G32" s="8" t="s">
        <v>34</v>
      </c>
      <c r="H32" s="8" t="s">
        <v>24</v>
      </c>
      <c r="I32" s="11">
        <v>89647.3904761905</v>
      </c>
      <c r="J32" s="8"/>
      <c r="R32" t="b">
        <f t="shared" si="0"/>
        <v>0</v>
      </c>
      <c r="S32" t="b">
        <f t="shared" si="1"/>
        <v>1</v>
      </c>
      <c r="T32">
        <f t="shared" si="2"/>
        <v>0</v>
      </c>
      <c r="V32" t="str">
        <f t="shared" si="3"/>
        <v>0</v>
      </c>
    </row>
    <row r="33" spans="1:22">
      <c r="A33" s="8">
        <v>59</v>
      </c>
      <c r="B33" s="8" t="s">
        <v>42</v>
      </c>
      <c r="C33" s="8" t="s">
        <v>38</v>
      </c>
      <c r="D33" s="8" t="s">
        <v>27</v>
      </c>
      <c r="E33" s="9"/>
      <c r="F33" s="10">
        <v>46172</v>
      </c>
      <c r="G33" s="8" t="s">
        <v>23</v>
      </c>
      <c r="H33" s="8" t="s">
        <v>28</v>
      </c>
      <c r="I33" s="11">
        <v>90239.0761904762</v>
      </c>
      <c r="J33" s="8"/>
      <c r="R33" t="b">
        <f t="shared" si="0"/>
        <v>0</v>
      </c>
      <c r="S33" t="b">
        <f t="shared" si="1"/>
        <v>1</v>
      </c>
      <c r="T33">
        <f t="shared" si="2"/>
        <v>0</v>
      </c>
      <c r="V33" t="str">
        <f t="shared" si="3"/>
        <v>0</v>
      </c>
    </row>
    <row r="34" spans="1:22">
      <c r="A34" s="8">
        <v>61</v>
      </c>
      <c r="B34" s="8" t="s">
        <v>44</v>
      </c>
      <c r="C34" s="8" t="s">
        <v>21</v>
      </c>
      <c r="D34" s="8" t="s">
        <v>22</v>
      </c>
      <c r="E34" s="9"/>
      <c r="F34" s="10">
        <v>46173</v>
      </c>
      <c r="G34" s="8" t="s">
        <v>34</v>
      </c>
      <c r="H34" s="8" t="s">
        <v>28</v>
      </c>
      <c r="I34" s="11">
        <v>90830.7619047619</v>
      </c>
      <c r="J34" s="8"/>
      <c r="R34" t="b">
        <f t="shared" si="0"/>
        <v>0</v>
      </c>
      <c r="S34" t="b">
        <f t="shared" si="1"/>
        <v>1</v>
      </c>
      <c r="T34">
        <f t="shared" si="2"/>
        <v>0</v>
      </c>
      <c r="V34" t="str">
        <f t="shared" si="3"/>
        <v>0</v>
      </c>
    </row>
    <row r="35" spans="1:22">
      <c r="A35" s="8">
        <v>65</v>
      </c>
      <c r="B35" s="8" t="s">
        <v>35</v>
      </c>
      <c r="C35" s="8" t="s">
        <v>46</v>
      </c>
      <c r="D35" s="8" t="s">
        <v>22</v>
      </c>
      <c r="E35" s="9"/>
      <c r="F35" s="10">
        <v>46177</v>
      </c>
      <c r="G35" s="8" t="s">
        <v>36</v>
      </c>
      <c r="H35" s="8" t="s">
        <v>28</v>
      </c>
      <c r="I35" s="11">
        <v>93197.5047619048</v>
      </c>
      <c r="J35" s="8"/>
      <c r="R35" t="b">
        <f t="shared" ref="R35:R66" si="4">NOT(ISBLANK(E35))</f>
        <v>0</v>
      </c>
      <c r="S35" t="b">
        <f t="shared" ref="S35:S66" si="5">NOT(R35)</f>
        <v>1</v>
      </c>
      <c r="T35">
        <f t="shared" ref="T35:T66" si="6">IF(NOT(ISBLANK(I35)),SUMIF(E35:E134,"&gt;10000",I35:I134),"no salary")</f>
        <v>0</v>
      </c>
      <c r="V35" t="str">
        <f t="shared" ref="V35:V66" si="7">IF(E35&gt;=8000,"10000",IF(E35&gt;=5000,"5000",IF(E35&lt;5000,"0")))</f>
        <v>0</v>
      </c>
    </row>
    <row r="36" spans="1:22">
      <c r="A36" s="8">
        <v>66</v>
      </c>
      <c r="B36" s="8" t="s">
        <v>41</v>
      </c>
      <c r="C36" s="8" t="s">
        <v>38</v>
      </c>
      <c r="D36" s="8" t="s">
        <v>22</v>
      </c>
      <c r="E36" s="9"/>
      <c r="F36" s="10">
        <v>46178</v>
      </c>
      <c r="G36" s="8" t="s">
        <v>40</v>
      </c>
      <c r="H36" s="8" t="s">
        <v>24</v>
      </c>
      <c r="I36" s="11">
        <v>93789.1904761905</v>
      </c>
      <c r="J36" s="8"/>
      <c r="R36" t="b">
        <f t="shared" si="4"/>
        <v>0</v>
      </c>
      <c r="S36" t="b">
        <f t="shared" si="5"/>
        <v>1</v>
      </c>
      <c r="T36">
        <f t="shared" si="6"/>
        <v>0</v>
      </c>
      <c r="V36" t="str">
        <f t="shared" si="7"/>
        <v>0</v>
      </c>
    </row>
    <row r="37" spans="1:22">
      <c r="A37" s="8">
        <v>67</v>
      </c>
      <c r="B37" s="8" t="s">
        <v>39</v>
      </c>
      <c r="C37" s="8" t="s">
        <v>21</v>
      </c>
      <c r="D37" s="8" t="s">
        <v>45</v>
      </c>
      <c r="E37" s="9"/>
      <c r="F37" s="10">
        <v>46179</v>
      </c>
      <c r="G37" s="8" t="s">
        <v>32</v>
      </c>
      <c r="H37" s="8" t="s">
        <v>28</v>
      </c>
      <c r="I37" s="11">
        <v>94380.8761904762</v>
      </c>
      <c r="J37" s="8"/>
      <c r="R37" t="b">
        <f t="shared" si="4"/>
        <v>0</v>
      </c>
      <c r="S37" t="b">
        <f t="shared" si="5"/>
        <v>1</v>
      </c>
      <c r="T37">
        <f t="shared" si="6"/>
        <v>0</v>
      </c>
      <c r="V37" t="str">
        <f t="shared" si="7"/>
        <v>0</v>
      </c>
    </row>
    <row r="38" spans="1:22">
      <c r="A38" s="8">
        <v>68</v>
      </c>
      <c r="B38" s="8" t="s">
        <v>42</v>
      </c>
      <c r="C38" s="8" t="s">
        <v>46</v>
      </c>
      <c r="D38" s="8" t="s">
        <v>22</v>
      </c>
      <c r="E38" s="9"/>
      <c r="F38" s="10">
        <v>46180</v>
      </c>
      <c r="G38" s="8" t="s">
        <v>32</v>
      </c>
      <c r="H38" s="8" t="s">
        <v>24</v>
      </c>
      <c r="I38" s="11">
        <v>94972.5619047619</v>
      </c>
      <c r="J38" s="8"/>
      <c r="R38" t="b">
        <f t="shared" si="4"/>
        <v>0</v>
      </c>
      <c r="S38" t="b">
        <f t="shared" si="5"/>
        <v>1</v>
      </c>
      <c r="T38">
        <f t="shared" si="6"/>
        <v>0</v>
      </c>
      <c r="V38" t="str">
        <f t="shared" si="7"/>
        <v>0</v>
      </c>
    </row>
    <row r="39" spans="1:22">
      <c r="A39" s="8">
        <v>69</v>
      </c>
      <c r="B39" s="8" t="s">
        <v>42</v>
      </c>
      <c r="C39" s="8" t="s">
        <v>21</v>
      </c>
      <c r="D39" s="8" t="s">
        <v>45</v>
      </c>
      <c r="E39" s="9"/>
      <c r="F39" s="10">
        <v>46182</v>
      </c>
      <c r="G39" s="8" t="s">
        <v>32</v>
      </c>
      <c r="H39" s="8" t="s">
        <v>24</v>
      </c>
      <c r="I39" s="11">
        <v>96155.9333333333</v>
      </c>
      <c r="J39" s="8"/>
      <c r="R39" t="b">
        <f t="shared" si="4"/>
        <v>0</v>
      </c>
      <c r="S39" t="b">
        <f t="shared" si="5"/>
        <v>1</v>
      </c>
      <c r="T39">
        <f t="shared" si="6"/>
        <v>0</v>
      </c>
      <c r="V39" t="str">
        <f t="shared" si="7"/>
        <v>0</v>
      </c>
    </row>
    <row r="40" spans="1:22">
      <c r="A40" s="8">
        <v>73</v>
      </c>
      <c r="B40" s="8" t="s">
        <v>39</v>
      </c>
      <c r="C40" s="8" t="s">
        <v>26</v>
      </c>
      <c r="D40" s="8" t="s">
        <v>31</v>
      </c>
      <c r="E40" s="9"/>
      <c r="F40" s="10">
        <v>46185</v>
      </c>
      <c r="G40" s="8" t="s">
        <v>34</v>
      </c>
      <c r="H40" s="8" t="s">
        <v>24</v>
      </c>
      <c r="I40" s="11">
        <v>97930.9904761905</v>
      </c>
      <c r="J40" s="8"/>
      <c r="R40" t="b">
        <f t="shared" si="4"/>
        <v>0</v>
      </c>
      <c r="S40" t="b">
        <f t="shared" si="5"/>
        <v>1</v>
      </c>
      <c r="T40">
        <f t="shared" si="6"/>
        <v>0</v>
      </c>
      <c r="V40" t="str">
        <f t="shared" si="7"/>
        <v>0</v>
      </c>
    </row>
    <row r="41" spans="1:22">
      <c r="A41" s="8">
        <v>74</v>
      </c>
      <c r="B41" s="8" t="s">
        <v>41</v>
      </c>
      <c r="C41" s="8" t="s">
        <v>21</v>
      </c>
      <c r="D41" s="8" t="s">
        <v>22</v>
      </c>
      <c r="E41" s="9"/>
      <c r="F41" s="10">
        <v>46186</v>
      </c>
      <c r="G41" s="8" t="s">
        <v>34</v>
      </c>
      <c r="H41" s="8" t="s">
        <v>24</v>
      </c>
      <c r="I41" s="11">
        <v>98522.6761904762</v>
      </c>
      <c r="J41" s="8"/>
      <c r="R41" t="b">
        <f t="shared" si="4"/>
        <v>0</v>
      </c>
      <c r="S41" t="b">
        <f t="shared" si="5"/>
        <v>1</v>
      </c>
      <c r="T41">
        <f t="shared" si="6"/>
        <v>0</v>
      </c>
      <c r="V41" t="str">
        <f t="shared" si="7"/>
        <v>0</v>
      </c>
    </row>
    <row r="42" spans="1:22">
      <c r="A42" s="8">
        <v>75</v>
      </c>
      <c r="B42" s="8" t="s">
        <v>41</v>
      </c>
      <c r="C42" s="8" t="s">
        <v>38</v>
      </c>
      <c r="D42" s="8" t="s">
        <v>45</v>
      </c>
      <c r="E42" s="9"/>
      <c r="F42" s="10">
        <v>46187</v>
      </c>
      <c r="G42" s="8" t="s">
        <v>23</v>
      </c>
      <c r="H42" s="8" t="s">
        <v>24</v>
      </c>
      <c r="I42" s="11">
        <v>99114.3619047619</v>
      </c>
      <c r="J42" s="8"/>
      <c r="R42" t="b">
        <f t="shared" si="4"/>
        <v>0</v>
      </c>
      <c r="S42" t="b">
        <f t="shared" si="5"/>
        <v>1</v>
      </c>
      <c r="T42">
        <f t="shared" si="6"/>
        <v>0</v>
      </c>
      <c r="V42" t="str">
        <f t="shared" si="7"/>
        <v>0</v>
      </c>
    </row>
    <row r="43" spans="1:22">
      <c r="A43" s="8">
        <v>78</v>
      </c>
      <c r="B43" s="8" t="s">
        <v>29</v>
      </c>
      <c r="C43" s="8" t="s">
        <v>38</v>
      </c>
      <c r="D43" s="8" t="s">
        <v>22</v>
      </c>
      <c r="E43" s="9"/>
      <c r="F43" s="10">
        <v>46190</v>
      </c>
      <c r="G43" s="8" t="s">
        <v>32</v>
      </c>
      <c r="H43" s="8" t="s">
        <v>24</v>
      </c>
      <c r="I43" s="11">
        <v>100889.419047619</v>
      </c>
      <c r="J43" s="8"/>
      <c r="R43" t="b">
        <f t="shared" si="4"/>
        <v>0</v>
      </c>
      <c r="S43" t="b">
        <f t="shared" si="5"/>
        <v>1</v>
      </c>
      <c r="T43">
        <f t="shared" si="6"/>
        <v>0</v>
      </c>
      <c r="V43" t="str">
        <f t="shared" si="7"/>
        <v>0</v>
      </c>
    </row>
    <row r="44" spans="1:22">
      <c r="A44" s="8">
        <v>79</v>
      </c>
      <c r="B44" s="8" t="s">
        <v>41</v>
      </c>
      <c r="C44" s="8" t="s">
        <v>26</v>
      </c>
      <c r="D44" s="8" t="s">
        <v>31</v>
      </c>
      <c r="E44" s="9"/>
      <c r="F44" s="10">
        <v>46191</v>
      </c>
      <c r="G44" s="8" t="s">
        <v>40</v>
      </c>
      <c r="H44" s="8" t="s">
        <v>28</v>
      </c>
      <c r="I44" s="11">
        <v>101481.104761905</v>
      </c>
      <c r="J44" s="8"/>
      <c r="R44" t="b">
        <f t="shared" si="4"/>
        <v>0</v>
      </c>
      <c r="S44" t="b">
        <f t="shared" si="5"/>
        <v>1</v>
      </c>
      <c r="T44">
        <f t="shared" si="6"/>
        <v>0</v>
      </c>
      <c r="V44" t="str">
        <f t="shared" si="7"/>
        <v>0</v>
      </c>
    </row>
    <row r="45" spans="1:22">
      <c r="A45" s="8">
        <v>79</v>
      </c>
      <c r="B45" s="8" t="s">
        <v>42</v>
      </c>
      <c r="C45" s="8" t="s">
        <v>47</v>
      </c>
      <c r="D45" s="8" t="s">
        <v>31</v>
      </c>
      <c r="E45" s="9"/>
      <c r="F45" s="10">
        <v>46192</v>
      </c>
      <c r="G45" s="8" t="s">
        <v>32</v>
      </c>
      <c r="H45" s="8" t="s">
        <v>24</v>
      </c>
      <c r="I45" s="11">
        <v>102072.79047619</v>
      </c>
      <c r="J45" s="8"/>
      <c r="R45" t="b">
        <f t="shared" si="4"/>
        <v>0</v>
      </c>
      <c r="S45" t="b">
        <f t="shared" si="5"/>
        <v>1</v>
      </c>
      <c r="T45">
        <f t="shared" si="6"/>
        <v>0</v>
      </c>
      <c r="V45" t="str">
        <f t="shared" si="7"/>
        <v>0</v>
      </c>
    </row>
    <row r="46" spans="1:22">
      <c r="A46" s="8">
        <v>81</v>
      </c>
      <c r="B46" s="8" t="s">
        <v>44</v>
      </c>
      <c r="C46" s="8" t="s">
        <v>43</v>
      </c>
      <c r="D46" s="8" t="s">
        <v>22</v>
      </c>
      <c r="E46" s="9"/>
      <c r="F46" s="10">
        <v>46193</v>
      </c>
      <c r="G46" s="8" t="s">
        <v>34</v>
      </c>
      <c r="H46" s="8" t="s">
        <v>28</v>
      </c>
      <c r="I46" s="11">
        <v>102664.476190476</v>
      </c>
      <c r="J46" s="8"/>
      <c r="R46" t="b">
        <f t="shared" si="4"/>
        <v>0</v>
      </c>
      <c r="S46" t="b">
        <f t="shared" si="5"/>
        <v>1</v>
      </c>
      <c r="T46">
        <f t="shared" si="6"/>
        <v>0</v>
      </c>
      <c r="V46" t="str">
        <f t="shared" si="7"/>
        <v>0</v>
      </c>
    </row>
    <row r="47" spans="1:22">
      <c r="A47" s="8">
        <v>82</v>
      </c>
      <c r="B47" s="8" t="s">
        <v>42</v>
      </c>
      <c r="C47" s="8" t="s">
        <v>47</v>
      </c>
      <c r="D47" s="8" t="s">
        <v>22</v>
      </c>
      <c r="E47" s="9"/>
      <c r="F47" s="10">
        <v>46194</v>
      </c>
      <c r="G47" s="8" t="s">
        <v>23</v>
      </c>
      <c r="H47" s="8" t="s">
        <v>28</v>
      </c>
      <c r="I47" s="11">
        <v>103256.161904762</v>
      </c>
      <c r="J47" s="8"/>
      <c r="R47" t="b">
        <f t="shared" si="4"/>
        <v>0</v>
      </c>
      <c r="S47" t="b">
        <f t="shared" si="5"/>
        <v>1</v>
      </c>
      <c r="T47">
        <f t="shared" si="6"/>
        <v>0</v>
      </c>
      <c r="V47" t="str">
        <f t="shared" si="7"/>
        <v>0</v>
      </c>
    </row>
    <row r="48" spans="1:22">
      <c r="A48" s="8">
        <v>84</v>
      </c>
      <c r="B48" s="8" t="s">
        <v>29</v>
      </c>
      <c r="C48" s="8" t="s">
        <v>46</v>
      </c>
      <c r="D48" s="8" t="s">
        <v>22</v>
      </c>
      <c r="E48" s="9"/>
      <c r="F48" s="10">
        <v>46196</v>
      </c>
      <c r="G48" s="8" t="s">
        <v>36</v>
      </c>
      <c r="H48" s="8" t="s">
        <v>28</v>
      </c>
      <c r="I48" s="11">
        <v>104439.533333333</v>
      </c>
      <c r="J48" s="8"/>
      <c r="R48" t="b">
        <f t="shared" si="4"/>
        <v>0</v>
      </c>
      <c r="S48" t="b">
        <f t="shared" si="5"/>
        <v>1</v>
      </c>
      <c r="T48">
        <f t="shared" si="6"/>
        <v>0</v>
      </c>
      <c r="V48" t="str">
        <f t="shared" si="7"/>
        <v>0</v>
      </c>
    </row>
    <row r="49" spans="1:22">
      <c r="A49" s="8">
        <v>85</v>
      </c>
      <c r="B49" s="8" t="s">
        <v>25</v>
      </c>
      <c r="C49" s="8" t="s">
        <v>21</v>
      </c>
      <c r="D49" s="8" t="s">
        <v>33</v>
      </c>
      <c r="E49" s="9"/>
      <c r="F49" s="10">
        <v>46197</v>
      </c>
      <c r="G49" s="8" t="s">
        <v>32</v>
      </c>
      <c r="H49" s="8" t="s">
        <v>24</v>
      </c>
      <c r="I49" s="11">
        <v>105031.219047619</v>
      </c>
      <c r="J49" s="8"/>
      <c r="R49" t="b">
        <f t="shared" si="4"/>
        <v>0</v>
      </c>
      <c r="S49" t="b">
        <f t="shared" si="5"/>
        <v>1</v>
      </c>
      <c r="T49">
        <f t="shared" si="6"/>
        <v>0</v>
      </c>
      <c r="V49" t="str">
        <f t="shared" si="7"/>
        <v>0</v>
      </c>
    </row>
    <row r="50" spans="1:22">
      <c r="A50" s="8">
        <v>86</v>
      </c>
      <c r="B50" s="8" t="s">
        <v>48</v>
      </c>
      <c r="C50" s="8" t="s">
        <v>47</v>
      </c>
      <c r="D50" s="8" t="s">
        <v>33</v>
      </c>
      <c r="E50" s="9"/>
      <c r="F50" s="10">
        <v>46198</v>
      </c>
      <c r="G50" s="8" t="s">
        <v>32</v>
      </c>
      <c r="H50" s="8" t="s">
        <v>28</v>
      </c>
      <c r="I50" s="11">
        <v>105622.904761905</v>
      </c>
      <c r="J50" s="8"/>
      <c r="R50" t="b">
        <f t="shared" si="4"/>
        <v>0</v>
      </c>
      <c r="S50" t="b">
        <f t="shared" si="5"/>
        <v>1</v>
      </c>
      <c r="T50">
        <f t="shared" si="6"/>
        <v>0</v>
      </c>
      <c r="V50" t="str">
        <f t="shared" si="7"/>
        <v>0</v>
      </c>
    </row>
    <row r="51" spans="1:22">
      <c r="A51" s="8">
        <v>87</v>
      </c>
      <c r="B51" s="8" t="s">
        <v>42</v>
      </c>
      <c r="C51" s="8" t="s">
        <v>21</v>
      </c>
      <c r="D51" s="8" t="s">
        <v>45</v>
      </c>
      <c r="E51" s="9"/>
      <c r="F51" s="10">
        <v>46199</v>
      </c>
      <c r="G51" s="8" t="s">
        <v>34</v>
      </c>
      <c r="H51" s="8" t="s">
        <v>24</v>
      </c>
      <c r="I51" s="11">
        <v>106214.59047619</v>
      </c>
      <c r="J51" s="8"/>
      <c r="R51" t="b">
        <f t="shared" si="4"/>
        <v>0</v>
      </c>
      <c r="S51" t="b">
        <f t="shared" si="5"/>
        <v>1</v>
      </c>
      <c r="T51">
        <f t="shared" si="6"/>
        <v>0</v>
      </c>
      <c r="V51" t="str">
        <f t="shared" si="7"/>
        <v>0</v>
      </c>
    </row>
    <row r="52" spans="1:22">
      <c r="A52" s="8">
        <v>88</v>
      </c>
      <c r="B52" s="8" t="s">
        <v>29</v>
      </c>
      <c r="C52" s="8" t="s">
        <v>26</v>
      </c>
      <c r="D52" s="8" t="s">
        <v>33</v>
      </c>
      <c r="E52" s="9"/>
      <c r="F52" s="10">
        <v>46200</v>
      </c>
      <c r="G52" s="8" t="s">
        <v>40</v>
      </c>
      <c r="H52" s="8" t="s">
        <v>24</v>
      </c>
      <c r="I52" s="11">
        <v>106806.276190476</v>
      </c>
      <c r="J52" s="8"/>
      <c r="R52" t="b">
        <f t="shared" si="4"/>
        <v>0</v>
      </c>
      <c r="S52" t="b">
        <f t="shared" si="5"/>
        <v>1</v>
      </c>
      <c r="T52">
        <f t="shared" si="6"/>
        <v>0</v>
      </c>
      <c r="V52" t="str">
        <f t="shared" si="7"/>
        <v>0</v>
      </c>
    </row>
    <row r="53" spans="1:22">
      <c r="A53" s="8">
        <v>89</v>
      </c>
      <c r="B53" s="8" t="s">
        <v>44</v>
      </c>
      <c r="C53" s="8" t="s">
        <v>38</v>
      </c>
      <c r="D53" s="8" t="s">
        <v>22</v>
      </c>
      <c r="E53" s="9"/>
      <c r="F53" s="10">
        <v>46201</v>
      </c>
      <c r="G53" s="8" t="s">
        <v>40</v>
      </c>
      <c r="H53" s="8" t="s">
        <v>28</v>
      </c>
      <c r="I53" s="11">
        <v>107397.961904762</v>
      </c>
      <c r="J53" s="8"/>
      <c r="R53" t="b">
        <f t="shared" si="4"/>
        <v>0</v>
      </c>
      <c r="S53" t="b">
        <f t="shared" si="5"/>
        <v>1</v>
      </c>
      <c r="T53">
        <f t="shared" si="6"/>
        <v>0</v>
      </c>
      <c r="V53" t="str">
        <f t="shared" si="7"/>
        <v>0</v>
      </c>
    </row>
    <row r="54" spans="1:22">
      <c r="A54" s="8">
        <v>89</v>
      </c>
      <c r="B54" s="8" t="s">
        <v>44</v>
      </c>
      <c r="C54" s="8" t="s">
        <v>46</v>
      </c>
      <c r="D54" s="8" t="s">
        <v>31</v>
      </c>
      <c r="E54" s="9"/>
      <c r="F54" s="10">
        <v>46202</v>
      </c>
      <c r="G54" s="8" t="s">
        <v>36</v>
      </c>
      <c r="H54" s="8" t="s">
        <v>24</v>
      </c>
      <c r="I54" s="11">
        <v>107989.647619048</v>
      </c>
      <c r="J54" s="8"/>
      <c r="R54" t="b">
        <f t="shared" si="4"/>
        <v>0</v>
      </c>
      <c r="S54" t="b">
        <f t="shared" si="5"/>
        <v>1</v>
      </c>
      <c r="T54">
        <f t="shared" si="6"/>
        <v>0</v>
      </c>
      <c r="V54" t="str">
        <f t="shared" si="7"/>
        <v>0</v>
      </c>
    </row>
    <row r="55" spans="1:22">
      <c r="A55" s="8">
        <v>91</v>
      </c>
      <c r="B55" s="8" t="s">
        <v>42</v>
      </c>
      <c r="C55" s="8" t="s">
        <v>26</v>
      </c>
      <c r="D55" s="8" t="s">
        <v>22</v>
      </c>
      <c r="E55" s="9"/>
      <c r="F55" s="10">
        <v>46203</v>
      </c>
      <c r="G55" s="8" t="s">
        <v>40</v>
      </c>
      <c r="H55" s="8" t="s">
        <v>24</v>
      </c>
      <c r="I55" s="11">
        <v>108581.333333333</v>
      </c>
      <c r="J55" s="8"/>
      <c r="R55" t="b">
        <f t="shared" si="4"/>
        <v>0</v>
      </c>
      <c r="S55" t="b">
        <f t="shared" si="5"/>
        <v>1</v>
      </c>
      <c r="T55">
        <f t="shared" si="6"/>
        <v>0</v>
      </c>
      <c r="V55" t="str">
        <f t="shared" si="7"/>
        <v>0</v>
      </c>
    </row>
    <row r="56" spans="1:22">
      <c r="A56" s="8">
        <v>94</v>
      </c>
      <c r="B56" s="8" t="s">
        <v>44</v>
      </c>
      <c r="C56" s="8" t="s">
        <v>21</v>
      </c>
      <c r="D56" s="8" t="s">
        <v>33</v>
      </c>
      <c r="E56" s="9"/>
      <c r="F56" s="10">
        <v>46206</v>
      </c>
      <c r="G56" s="8" t="s">
        <v>34</v>
      </c>
      <c r="H56" s="8" t="s">
        <v>24</v>
      </c>
      <c r="I56" s="11">
        <v>110356.39047619</v>
      </c>
      <c r="J56" s="8"/>
      <c r="R56" t="b">
        <f t="shared" si="4"/>
        <v>0</v>
      </c>
      <c r="S56" t="b">
        <f t="shared" si="5"/>
        <v>1</v>
      </c>
      <c r="T56">
        <f t="shared" si="6"/>
        <v>0</v>
      </c>
      <c r="V56" t="str">
        <f t="shared" si="7"/>
        <v>0</v>
      </c>
    </row>
    <row r="57" spans="1:22">
      <c r="A57" s="8">
        <v>96</v>
      </c>
      <c r="B57" s="8" t="s">
        <v>20</v>
      </c>
      <c r="C57" s="8" t="s">
        <v>46</v>
      </c>
      <c r="D57" s="8" t="s">
        <v>27</v>
      </c>
      <c r="E57" s="9"/>
      <c r="F57" s="10">
        <v>46208</v>
      </c>
      <c r="G57" s="8" t="s">
        <v>34</v>
      </c>
      <c r="H57" s="8" t="s">
        <v>28</v>
      </c>
      <c r="I57" s="11"/>
      <c r="J57" s="8"/>
      <c r="R57" t="b">
        <f t="shared" si="4"/>
        <v>0</v>
      </c>
      <c r="S57" t="b">
        <f t="shared" si="5"/>
        <v>1</v>
      </c>
      <c r="T57" t="str">
        <f t="shared" si="6"/>
        <v>no salary</v>
      </c>
      <c r="V57" t="str">
        <f t="shared" si="7"/>
        <v>0</v>
      </c>
    </row>
    <row r="58" spans="1:22">
      <c r="A58" s="8">
        <v>39</v>
      </c>
      <c r="B58" s="8" t="s">
        <v>42</v>
      </c>
      <c r="C58" s="8" t="s">
        <v>38</v>
      </c>
      <c r="D58" s="8" t="s">
        <v>31</v>
      </c>
      <c r="E58" s="12">
        <v>9986</v>
      </c>
      <c r="F58" s="10">
        <v>46152</v>
      </c>
      <c r="G58" s="8" t="s">
        <v>23</v>
      </c>
      <c r="H58" s="8" t="s">
        <v>24</v>
      </c>
      <c r="I58" s="11">
        <v>78405.3619047619</v>
      </c>
      <c r="J58" s="8"/>
      <c r="R58" t="b">
        <f t="shared" si="4"/>
        <v>1</v>
      </c>
      <c r="S58" t="b">
        <f t="shared" si="5"/>
        <v>0</v>
      </c>
      <c r="T58">
        <f t="shared" si="6"/>
        <v>0</v>
      </c>
      <c r="V58" t="str">
        <f t="shared" si="7"/>
        <v>10000</v>
      </c>
    </row>
    <row r="59" spans="1:22">
      <c r="A59" s="8">
        <v>29</v>
      </c>
      <c r="B59" s="8" t="s">
        <v>29</v>
      </c>
      <c r="C59" s="8" t="s">
        <v>38</v>
      </c>
      <c r="D59" s="8" t="s">
        <v>33</v>
      </c>
      <c r="E59" s="12">
        <v>9493</v>
      </c>
      <c r="F59" s="10">
        <v>46141</v>
      </c>
      <c r="G59" s="8" t="s">
        <v>34</v>
      </c>
      <c r="H59" s="8" t="s">
        <v>28</v>
      </c>
      <c r="I59" s="11">
        <v>71896.8190476191</v>
      </c>
      <c r="J59" s="8"/>
      <c r="R59" t="b">
        <f t="shared" si="4"/>
        <v>1</v>
      </c>
      <c r="S59" t="b">
        <f t="shared" si="5"/>
        <v>0</v>
      </c>
      <c r="T59">
        <f t="shared" si="6"/>
        <v>0</v>
      </c>
      <c r="V59" t="str">
        <f t="shared" si="7"/>
        <v>10000</v>
      </c>
    </row>
    <row r="60" spans="1:22">
      <c r="A60" s="8">
        <v>92</v>
      </c>
      <c r="B60" s="8" t="s">
        <v>41</v>
      </c>
      <c r="C60" s="8" t="s">
        <v>47</v>
      </c>
      <c r="D60" s="8" t="s">
        <v>31</v>
      </c>
      <c r="E60" s="12">
        <v>9443</v>
      </c>
      <c r="F60" s="10">
        <v>46204</v>
      </c>
      <c r="G60" s="8" t="s">
        <v>32</v>
      </c>
      <c r="H60" s="8" t="s">
        <v>24</v>
      </c>
      <c r="I60" s="11">
        <v>109173.019047619</v>
      </c>
      <c r="J60" s="8"/>
      <c r="R60" t="b">
        <f t="shared" si="4"/>
        <v>1</v>
      </c>
      <c r="S60" t="b">
        <f t="shared" si="5"/>
        <v>0</v>
      </c>
      <c r="T60">
        <f t="shared" si="6"/>
        <v>0</v>
      </c>
      <c r="V60" t="str">
        <f t="shared" si="7"/>
        <v>10000</v>
      </c>
    </row>
    <row r="61" spans="1:22">
      <c r="A61" s="8">
        <v>2</v>
      </c>
      <c r="B61" s="8" t="s">
        <v>44</v>
      </c>
      <c r="C61" s="8" t="s">
        <v>21</v>
      </c>
      <c r="D61" s="8" t="s">
        <v>27</v>
      </c>
      <c r="E61" s="12">
        <v>9083</v>
      </c>
      <c r="F61" s="10">
        <v>46114</v>
      </c>
      <c r="G61" s="8" t="s">
        <v>32</v>
      </c>
      <c r="H61" s="8" t="s">
        <v>24</v>
      </c>
      <c r="I61" s="11">
        <v>65000</v>
      </c>
      <c r="J61" s="8"/>
      <c r="R61" t="b">
        <f t="shared" si="4"/>
        <v>1</v>
      </c>
      <c r="S61" t="b">
        <f t="shared" si="5"/>
        <v>0</v>
      </c>
      <c r="T61">
        <f t="shared" si="6"/>
        <v>0</v>
      </c>
      <c r="V61" t="str">
        <f t="shared" si="7"/>
        <v>10000</v>
      </c>
    </row>
    <row r="62" spans="1:22">
      <c r="A62" s="8">
        <v>47</v>
      </c>
      <c r="B62" s="8" t="s">
        <v>41</v>
      </c>
      <c r="C62" s="8" t="s">
        <v>46</v>
      </c>
      <c r="D62" s="8" t="s">
        <v>22</v>
      </c>
      <c r="E62" s="12">
        <v>9009</v>
      </c>
      <c r="F62" s="10">
        <v>46159</v>
      </c>
      <c r="G62" s="8" t="s">
        <v>32</v>
      </c>
      <c r="H62" s="8" t="s">
        <v>28</v>
      </c>
      <c r="I62" s="11">
        <v>82547.1619047619</v>
      </c>
      <c r="J62" s="8"/>
      <c r="R62" t="b">
        <f t="shared" si="4"/>
        <v>1</v>
      </c>
      <c r="S62" t="b">
        <f t="shared" si="5"/>
        <v>0</v>
      </c>
      <c r="T62">
        <f t="shared" si="6"/>
        <v>0</v>
      </c>
      <c r="V62" t="str">
        <f t="shared" si="7"/>
        <v>10000</v>
      </c>
    </row>
    <row r="63" spans="1:22">
      <c r="A63" s="8">
        <v>35</v>
      </c>
      <c r="B63" s="8" t="s">
        <v>25</v>
      </c>
      <c r="C63" s="8" t="s">
        <v>38</v>
      </c>
      <c r="D63" s="8" t="s">
        <v>31</v>
      </c>
      <c r="E63" s="12">
        <v>8902</v>
      </c>
      <c r="F63" s="10">
        <v>46147</v>
      </c>
      <c r="G63" s="8" t="s">
        <v>32</v>
      </c>
      <c r="H63" s="8" t="s">
        <v>24</v>
      </c>
      <c r="I63" s="11">
        <v>75446.9333333333</v>
      </c>
      <c r="J63" s="8"/>
      <c r="R63" t="b">
        <f t="shared" si="4"/>
        <v>1</v>
      </c>
      <c r="S63" t="b">
        <f t="shared" si="5"/>
        <v>0</v>
      </c>
      <c r="T63">
        <f t="shared" si="6"/>
        <v>0</v>
      </c>
      <c r="V63" t="str">
        <f t="shared" si="7"/>
        <v>10000</v>
      </c>
    </row>
    <row r="64" spans="1:22">
      <c r="A64" s="8">
        <v>14</v>
      </c>
      <c r="B64" s="8" t="s">
        <v>20</v>
      </c>
      <c r="C64" s="8" t="s">
        <v>43</v>
      </c>
      <c r="D64" s="8" t="s">
        <v>31</v>
      </c>
      <c r="E64" s="12">
        <v>8589</v>
      </c>
      <c r="F64" s="10">
        <v>46126</v>
      </c>
      <c r="G64" s="8" t="s">
        <v>32</v>
      </c>
      <c r="H64" s="8" t="s">
        <v>24</v>
      </c>
      <c r="I64" s="11">
        <v>63021.5333333333</v>
      </c>
      <c r="J64" s="8"/>
      <c r="R64" t="b">
        <f t="shared" si="4"/>
        <v>1</v>
      </c>
      <c r="S64" t="b">
        <f t="shared" si="5"/>
        <v>0</v>
      </c>
      <c r="T64">
        <f t="shared" si="6"/>
        <v>0</v>
      </c>
      <c r="V64" t="str">
        <f t="shared" si="7"/>
        <v>10000</v>
      </c>
    </row>
    <row r="65" spans="1:22">
      <c r="A65" s="8">
        <v>99</v>
      </c>
      <c r="B65" s="8" t="s">
        <v>35</v>
      </c>
      <c r="C65" s="8" t="s">
        <v>26</v>
      </c>
      <c r="D65" s="8" t="s">
        <v>27</v>
      </c>
      <c r="E65" s="12">
        <v>8363</v>
      </c>
      <c r="F65" s="10">
        <v>46212</v>
      </c>
      <c r="G65" s="8" t="s">
        <v>23</v>
      </c>
      <c r="H65" s="8" t="s">
        <v>24</v>
      </c>
      <c r="I65" s="11">
        <v>113906.504761905</v>
      </c>
      <c r="J65" s="8"/>
      <c r="R65" t="b">
        <f t="shared" si="4"/>
        <v>1</v>
      </c>
      <c r="S65" t="b">
        <f t="shared" si="5"/>
        <v>0</v>
      </c>
      <c r="T65">
        <f t="shared" si="6"/>
        <v>0</v>
      </c>
      <c r="V65" t="str">
        <f t="shared" si="7"/>
        <v>10000</v>
      </c>
    </row>
    <row r="66" spans="1:22">
      <c r="A66" s="8">
        <v>76</v>
      </c>
      <c r="B66" s="8" t="s">
        <v>20</v>
      </c>
      <c r="C66" s="8" t="s">
        <v>43</v>
      </c>
      <c r="D66" s="8" t="s">
        <v>33</v>
      </c>
      <c r="E66" s="12">
        <v>8138</v>
      </c>
      <c r="F66" s="10">
        <v>46188</v>
      </c>
      <c r="G66" s="8" t="s">
        <v>32</v>
      </c>
      <c r="H66" s="8" t="s">
        <v>24</v>
      </c>
      <c r="I66" s="11">
        <v>99706.0476190476</v>
      </c>
      <c r="J66" s="8"/>
      <c r="R66" t="b">
        <f t="shared" si="4"/>
        <v>1</v>
      </c>
      <c r="S66" t="b">
        <f t="shared" si="5"/>
        <v>0</v>
      </c>
      <c r="T66">
        <f t="shared" si="6"/>
        <v>0</v>
      </c>
      <c r="V66" t="str">
        <f t="shared" si="7"/>
        <v>10000</v>
      </c>
    </row>
    <row r="67" spans="1:22">
      <c r="A67" s="8">
        <v>77</v>
      </c>
      <c r="B67" s="8" t="s">
        <v>42</v>
      </c>
      <c r="C67" s="8" t="s">
        <v>46</v>
      </c>
      <c r="D67" s="8" t="s">
        <v>31</v>
      </c>
      <c r="E67" s="12">
        <v>6062</v>
      </c>
      <c r="F67" s="10">
        <v>46189</v>
      </c>
      <c r="G67" s="8" t="s">
        <v>23</v>
      </c>
      <c r="H67" s="8" t="s">
        <v>28</v>
      </c>
      <c r="I67" s="11">
        <v>100297.733333333</v>
      </c>
      <c r="J67" s="8"/>
      <c r="R67" t="b">
        <f t="shared" ref="R67:R102" si="8">NOT(ISBLANK(E67))</f>
        <v>1</v>
      </c>
      <c r="S67" t="b">
        <f t="shared" ref="S67:S102" si="9">NOT(R67)</f>
        <v>0</v>
      </c>
      <c r="T67">
        <f t="shared" ref="T67:T102" si="10">IF(NOT(ISBLANK(I67)),SUMIF(E67:E166,"&gt;10000",I67:I166),"no salary")</f>
        <v>0</v>
      </c>
      <c r="V67" t="str">
        <f t="shared" ref="V67:V102" si="11">IF(E67&gt;=8000,"10000",IF(E67&gt;=5000,"5000",IF(E67&lt;5000,"0")))</f>
        <v>5000</v>
      </c>
    </row>
    <row r="68" spans="1:22">
      <c r="A68" s="8">
        <v>23</v>
      </c>
      <c r="B68" s="8" t="s">
        <v>44</v>
      </c>
      <c r="C68" s="8" t="s">
        <v>21</v>
      </c>
      <c r="D68" s="8" t="s">
        <v>22</v>
      </c>
      <c r="E68" s="12">
        <v>5201</v>
      </c>
      <c r="F68" s="10">
        <v>46135</v>
      </c>
      <c r="G68" s="8" t="s">
        <v>23</v>
      </c>
      <c r="H68" s="8" t="s">
        <v>28</v>
      </c>
      <c r="I68" s="11">
        <v>68346.7047619048</v>
      </c>
      <c r="J68" s="8"/>
      <c r="R68" t="b">
        <f t="shared" si="8"/>
        <v>1</v>
      </c>
      <c r="S68" t="b">
        <f t="shared" si="9"/>
        <v>0</v>
      </c>
      <c r="T68">
        <f t="shared" si="10"/>
        <v>0</v>
      </c>
      <c r="V68" t="str">
        <f t="shared" si="11"/>
        <v>5000</v>
      </c>
    </row>
    <row r="69" spans="1:22">
      <c r="A69" s="8">
        <v>64</v>
      </c>
      <c r="B69" s="8" t="s">
        <v>41</v>
      </c>
      <c r="C69" s="8" t="s">
        <v>26</v>
      </c>
      <c r="D69" s="8" t="s">
        <v>31</v>
      </c>
      <c r="E69" s="12">
        <v>4919</v>
      </c>
      <c r="F69" s="10">
        <v>46176</v>
      </c>
      <c r="G69" s="8" t="s">
        <v>23</v>
      </c>
      <c r="H69" s="8" t="s">
        <v>24</v>
      </c>
      <c r="I69" s="11">
        <v>92605.8190476191</v>
      </c>
      <c r="J69" s="8"/>
      <c r="R69" t="b">
        <f t="shared" si="8"/>
        <v>1</v>
      </c>
      <c r="S69" t="b">
        <f t="shared" si="9"/>
        <v>0</v>
      </c>
      <c r="T69">
        <f t="shared" si="10"/>
        <v>0</v>
      </c>
      <c r="V69" t="str">
        <f t="shared" si="11"/>
        <v>0</v>
      </c>
    </row>
    <row r="70" spans="1:22">
      <c r="A70" s="8">
        <v>4</v>
      </c>
      <c r="B70" s="8" t="s">
        <v>29</v>
      </c>
      <c r="C70" s="8" t="s">
        <v>26</v>
      </c>
      <c r="D70" s="8" t="s">
        <v>45</v>
      </c>
      <c r="E70" s="12">
        <v>4794</v>
      </c>
      <c r="F70" s="10">
        <v>46116</v>
      </c>
      <c r="G70" s="8" t="s">
        <v>34</v>
      </c>
      <c r="H70" s="8" t="s">
        <v>24</v>
      </c>
      <c r="I70" s="11">
        <v>63489</v>
      </c>
      <c r="J70" s="8"/>
      <c r="R70" t="b">
        <f t="shared" si="8"/>
        <v>1</v>
      </c>
      <c r="S70" t="b">
        <f t="shared" si="9"/>
        <v>0</v>
      </c>
      <c r="T70">
        <f t="shared" si="10"/>
        <v>0</v>
      </c>
      <c r="V70" t="str">
        <f t="shared" si="11"/>
        <v>0</v>
      </c>
    </row>
    <row r="71" spans="1:22">
      <c r="A71" s="8">
        <v>99</v>
      </c>
      <c r="B71" s="8" t="s">
        <v>25</v>
      </c>
      <c r="C71" s="8" t="s">
        <v>47</v>
      </c>
      <c r="D71" s="8" t="s">
        <v>31</v>
      </c>
      <c r="E71" s="12">
        <v>4679</v>
      </c>
      <c r="F71" s="10">
        <v>46211</v>
      </c>
      <c r="G71" s="8" t="s">
        <v>32</v>
      </c>
      <c r="H71" s="8" t="s">
        <v>24</v>
      </c>
      <c r="I71" s="11">
        <v>113314.819047619</v>
      </c>
      <c r="J71" s="8"/>
      <c r="R71" t="b">
        <f t="shared" si="8"/>
        <v>1</v>
      </c>
      <c r="S71" t="b">
        <f t="shared" si="9"/>
        <v>0</v>
      </c>
      <c r="T71">
        <f t="shared" si="10"/>
        <v>0</v>
      </c>
      <c r="V71" t="str">
        <f t="shared" si="11"/>
        <v>0</v>
      </c>
    </row>
    <row r="72" spans="1:22">
      <c r="A72" s="8">
        <v>8</v>
      </c>
      <c r="B72" s="8" t="s">
        <v>42</v>
      </c>
      <c r="C72" s="8" t="s">
        <v>38</v>
      </c>
      <c r="D72" s="8" t="s">
        <v>22</v>
      </c>
      <c r="E72" s="12">
        <v>4516</v>
      </c>
      <c r="F72" s="10">
        <v>46120</v>
      </c>
      <c r="G72" s="8" t="s">
        <v>32</v>
      </c>
      <c r="H72" s="8" t="s">
        <v>28</v>
      </c>
      <c r="I72" s="11">
        <v>59471.419047619</v>
      </c>
      <c r="J72" s="8"/>
      <c r="R72" t="b">
        <f t="shared" si="8"/>
        <v>1</v>
      </c>
      <c r="S72" t="b">
        <f t="shared" si="9"/>
        <v>0</v>
      </c>
      <c r="T72">
        <f t="shared" si="10"/>
        <v>0</v>
      </c>
      <c r="V72" t="str">
        <f t="shared" si="11"/>
        <v>0</v>
      </c>
    </row>
    <row r="73" spans="1:22">
      <c r="A73" s="8">
        <v>1</v>
      </c>
      <c r="B73" s="8" t="s">
        <v>35</v>
      </c>
      <c r="C73" s="8" t="s">
        <v>21</v>
      </c>
      <c r="D73" s="8" t="s">
        <v>31</v>
      </c>
      <c r="E73" s="12">
        <v>3293</v>
      </c>
      <c r="F73" s="10">
        <v>46113</v>
      </c>
      <c r="G73" s="8" t="s">
        <v>34</v>
      </c>
      <c r="H73" s="8" t="s">
        <v>24</v>
      </c>
      <c r="I73" s="11">
        <v>55000</v>
      </c>
      <c r="J73" s="8"/>
      <c r="R73" t="b">
        <f t="shared" si="8"/>
        <v>1</v>
      </c>
      <c r="S73" t="b">
        <f t="shared" si="9"/>
        <v>0</v>
      </c>
      <c r="T73">
        <f t="shared" si="10"/>
        <v>0</v>
      </c>
      <c r="V73" t="str">
        <f t="shared" si="11"/>
        <v>0</v>
      </c>
    </row>
    <row r="74" spans="1:22">
      <c r="A74" s="8">
        <v>52</v>
      </c>
      <c r="B74" s="8" t="s">
        <v>35</v>
      </c>
      <c r="C74" s="8" t="s">
        <v>38</v>
      </c>
      <c r="D74" s="8" t="s">
        <v>27</v>
      </c>
      <c r="E74" s="12">
        <v>2865</v>
      </c>
      <c r="F74" s="10">
        <v>46164</v>
      </c>
      <c r="G74" s="8" t="s">
        <v>32</v>
      </c>
      <c r="H74" s="8" t="s">
        <v>28</v>
      </c>
      <c r="I74" s="11">
        <v>85505.5904761905</v>
      </c>
      <c r="J74" s="8"/>
      <c r="R74" t="b">
        <f t="shared" si="8"/>
        <v>1</v>
      </c>
      <c r="S74" t="b">
        <f t="shared" si="9"/>
        <v>0</v>
      </c>
      <c r="T74">
        <f t="shared" si="10"/>
        <v>0</v>
      </c>
      <c r="V74" t="str">
        <f t="shared" si="11"/>
        <v>0</v>
      </c>
    </row>
    <row r="75" spans="1:22">
      <c r="A75" s="8">
        <v>26</v>
      </c>
      <c r="B75" s="8" t="s">
        <v>39</v>
      </c>
      <c r="C75" s="8" t="s">
        <v>21</v>
      </c>
      <c r="D75" s="8" t="s">
        <v>27</v>
      </c>
      <c r="E75" s="12">
        <v>2595</v>
      </c>
      <c r="F75" s="10">
        <v>46138</v>
      </c>
      <c r="G75" s="8" t="s">
        <v>40</v>
      </c>
      <c r="H75" s="8" t="s">
        <v>28</v>
      </c>
      <c r="I75" s="11">
        <v>70121.7619047619</v>
      </c>
      <c r="J75" s="8"/>
      <c r="R75" t="b">
        <f t="shared" si="8"/>
        <v>1</v>
      </c>
      <c r="S75" t="b">
        <f t="shared" si="9"/>
        <v>0</v>
      </c>
      <c r="T75">
        <f t="shared" si="10"/>
        <v>0</v>
      </c>
      <c r="V75" t="str">
        <f t="shared" si="11"/>
        <v>0</v>
      </c>
    </row>
    <row r="76" spans="1:22">
      <c r="A76" s="8">
        <v>24</v>
      </c>
      <c r="B76" s="8" t="s">
        <v>20</v>
      </c>
      <c r="C76" s="8" t="s">
        <v>26</v>
      </c>
      <c r="D76" s="8" t="s">
        <v>33</v>
      </c>
      <c r="E76" s="12">
        <v>2518</v>
      </c>
      <c r="F76" s="10">
        <v>46136</v>
      </c>
      <c r="G76" s="8" t="s">
        <v>32</v>
      </c>
      <c r="H76" s="8" t="s">
        <v>28</v>
      </c>
      <c r="I76" s="11">
        <v>68938.3904761905</v>
      </c>
      <c r="J76" s="8"/>
      <c r="R76" t="b">
        <f t="shared" si="8"/>
        <v>1</v>
      </c>
      <c r="S76" t="b">
        <f t="shared" si="9"/>
        <v>0</v>
      </c>
      <c r="T76">
        <f t="shared" si="10"/>
        <v>0</v>
      </c>
      <c r="V76" t="str">
        <f t="shared" si="11"/>
        <v>0</v>
      </c>
    </row>
    <row r="77" spans="1:22">
      <c r="A77" s="8">
        <v>71</v>
      </c>
      <c r="B77" s="8" t="s">
        <v>41</v>
      </c>
      <c r="C77" s="8" t="s">
        <v>26</v>
      </c>
      <c r="D77" s="8" t="s">
        <v>22</v>
      </c>
      <c r="E77" s="12">
        <v>2497</v>
      </c>
      <c r="F77" s="10">
        <v>46183</v>
      </c>
      <c r="G77" s="8" t="s">
        <v>32</v>
      </c>
      <c r="H77" s="8" t="s">
        <v>24</v>
      </c>
      <c r="I77" s="11">
        <v>96747.6190476191</v>
      </c>
      <c r="J77" s="8"/>
      <c r="R77" t="b">
        <f t="shared" si="8"/>
        <v>1</v>
      </c>
      <c r="S77" t="b">
        <f t="shared" si="9"/>
        <v>0</v>
      </c>
      <c r="T77">
        <f t="shared" si="10"/>
        <v>0</v>
      </c>
      <c r="V77" t="str">
        <f t="shared" si="11"/>
        <v>0</v>
      </c>
    </row>
    <row r="78" spans="1:22">
      <c r="A78" s="8">
        <v>63</v>
      </c>
      <c r="B78" s="8" t="s">
        <v>35</v>
      </c>
      <c r="C78" s="8" t="s">
        <v>21</v>
      </c>
      <c r="D78" s="8" t="s">
        <v>31</v>
      </c>
      <c r="E78" s="12">
        <v>1962</v>
      </c>
      <c r="F78" s="10">
        <v>46175</v>
      </c>
      <c r="G78" s="8" t="s">
        <v>36</v>
      </c>
      <c r="H78" s="8" t="s">
        <v>28</v>
      </c>
      <c r="I78" s="11">
        <v>92014.1333333333</v>
      </c>
      <c r="J78" s="8"/>
      <c r="R78" t="b">
        <f t="shared" si="8"/>
        <v>1</v>
      </c>
      <c r="S78" t="b">
        <f t="shared" si="9"/>
        <v>0</v>
      </c>
      <c r="T78">
        <f t="shared" si="10"/>
        <v>0</v>
      </c>
      <c r="V78" t="str">
        <f t="shared" si="11"/>
        <v>0</v>
      </c>
    </row>
    <row r="79" spans="1:22">
      <c r="A79" s="8">
        <v>43</v>
      </c>
      <c r="B79" s="8" t="s">
        <v>48</v>
      </c>
      <c r="C79" s="8" t="s">
        <v>38</v>
      </c>
      <c r="D79" s="8" t="s">
        <v>22</v>
      </c>
      <c r="E79" s="12">
        <v>1412</v>
      </c>
      <c r="F79" s="10">
        <v>46155</v>
      </c>
      <c r="G79" s="8" t="s">
        <v>34</v>
      </c>
      <c r="H79" s="8" t="s">
        <v>24</v>
      </c>
      <c r="I79" s="11">
        <v>80180.419047619</v>
      </c>
      <c r="J79" s="8"/>
      <c r="R79" t="b">
        <f t="shared" si="8"/>
        <v>1</v>
      </c>
      <c r="S79" t="b">
        <f t="shared" si="9"/>
        <v>0</v>
      </c>
      <c r="T79">
        <f t="shared" si="10"/>
        <v>0</v>
      </c>
      <c r="V79" t="str">
        <f t="shared" si="11"/>
        <v>0</v>
      </c>
    </row>
    <row r="80" spans="1:22">
      <c r="A80" s="8">
        <v>62</v>
      </c>
      <c r="B80" s="8" t="s">
        <v>48</v>
      </c>
      <c r="C80" s="8" t="s">
        <v>38</v>
      </c>
      <c r="D80" s="8" t="s">
        <v>22</v>
      </c>
      <c r="E80" s="12">
        <v>1365</v>
      </c>
      <c r="F80" s="10">
        <v>46174</v>
      </c>
      <c r="G80" s="8" t="s">
        <v>40</v>
      </c>
      <c r="H80" s="8" t="s">
        <v>24</v>
      </c>
      <c r="I80" s="11">
        <v>91422.4476190476</v>
      </c>
      <c r="J80" s="8"/>
      <c r="R80" t="b">
        <f t="shared" si="8"/>
        <v>1</v>
      </c>
      <c r="S80" t="b">
        <f t="shared" si="9"/>
        <v>0</v>
      </c>
      <c r="T80">
        <f t="shared" si="10"/>
        <v>0</v>
      </c>
      <c r="V80" t="str">
        <f t="shared" si="11"/>
        <v>0</v>
      </c>
    </row>
    <row r="81" spans="1:22">
      <c r="A81" s="8">
        <v>49</v>
      </c>
      <c r="B81" s="8" t="s">
        <v>35</v>
      </c>
      <c r="C81" s="8" t="s">
        <v>38</v>
      </c>
      <c r="D81" s="8" t="s">
        <v>22</v>
      </c>
      <c r="E81" s="9">
        <v>9536</v>
      </c>
      <c r="F81" s="10">
        <v>46162</v>
      </c>
      <c r="G81" s="8" t="s">
        <v>23</v>
      </c>
      <c r="H81" s="8" t="s">
        <v>24</v>
      </c>
      <c r="I81" s="11">
        <v>84322.219047619</v>
      </c>
      <c r="J81" s="8"/>
      <c r="R81" t="b">
        <f t="shared" si="8"/>
        <v>1</v>
      </c>
      <c r="S81" t="b">
        <f t="shared" si="9"/>
        <v>0</v>
      </c>
      <c r="T81">
        <f t="shared" si="10"/>
        <v>0</v>
      </c>
      <c r="V81" t="str">
        <f t="shared" si="11"/>
        <v>10000</v>
      </c>
    </row>
    <row r="82" spans="1:22">
      <c r="A82" s="8">
        <v>34</v>
      </c>
      <c r="B82" s="8" t="s">
        <v>39</v>
      </c>
      <c r="C82" s="8" t="s">
        <v>21</v>
      </c>
      <c r="D82" s="8" t="s">
        <v>22</v>
      </c>
      <c r="E82" s="9">
        <v>9019</v>
      </c>
      <c r="F82" s="10">
        <v>46146</v>
      </c>
      <c r="G82" s="8" t="s">
        <v>34</v>
      </c>
      <c r="H82" s="8" t="s">
        <v>28</v>
      </c>
      <c r="I82" s="11">
        <v>74855.2476190476</v>
      </c>
      <c r="J82" s="8"/>
      <c r="R82" t="b">
        <f t="shared" si="8"/>
        <v>1</v>
      </c>
      <c r="S82" t="b">
        <f t="shared" si="9"/>
        <v>0</v>
      </c>
      <c r="T82">
        <f t="shared" si="10"/>
        <v>0</v>
      </c>
      <c r="V82" t="str">
        <f t="shared" si="11"/>
        <v>10000</v>
      </c>
    </row>
    <row r="83" spans="1:22">
      <c r="A83" s="8">
        <v>9</v>
      </c>
      <c r="B83" s="8" t="s">
        <v>20</v>
      </c>
      <c r="C83" s="8" t="s">
        <v>38</v>
      </c>
      <c r="D83" s="8" t="s">
        <v>31</v>
      </c>
      <c r="E83" s="9">
        <v>8931</v>
      </c>
      <c r="F83" s="10">
        <v>46121</v>
      </c>
      <c r="G83" s="8" t="s">
        <v>36</v>
      </c>
      <c r="H83" s="8" t="s">
        <v>24</v>
      </c>
      <c r="I83" s="11">
        <v>60063.1047619048</v>
      </c>
      <c r="J83" s="8"/>
      <c r="R83" t="b">
        <f t="shared" si="8"/>
        <v>1</v>
      </c>
      <c r="S83" t="b">
        <f t="shared" si="9"/>
        <v>0</v>
      </c>
      <c r="T83">
        <f t="shared" si="10"/>
        <v>0</v>
      </c>
      <c r="V83" t="str">
        <f t="shared" si="11"/>
        <v>10000</v>
      </c>
    </row>
    <row r="84" spans="1:22">
      <c r="A84" s="8">
        <v>31</v>
      </c>
      <c r="B84" s="8" t="s">
        <v>42</v>
      </c>
      <c r="C84" s="8" t="s">
        <v>26</v>
      </c>
      <c r="D84" s="8" t="s">
        <v>22</v>
      </c>
      <c r="E84" s="9">
        <v>8931</v>
      </c>
      <c r="F84" s="10">
        <v>46143</v>
      </c>
      <c r="G84" s="8" t="s">
        <v>36</v>
      </c>
      <c r="H84" s="8" t="s">
        <v>28</v>
      </c>
      <c r="I84" s="11">
        <v>73080.1904761905</v>
      </c>
      <c r="J84" s="8"/>
      <c r="R84" t="b">
        <f t="shared" si="8"/>
        <v>1</v>
      </c>
      <c r="S84" t="b">
        <f t="shared" si="9"/>
        <v>0</v>
      </c>
      <c r="T84">
        <f t="shared" si="10"/>
        <v>0</v>
      </c>
      <c r="V84" t="str">
        <f t="shared" si="11"/>
        <v>10000</v>
      </c>
    </row>
    <row r="85" spans="1:22">
      <c r="A85" s="8">
        <v>57</v>
      </c>
      <c r="B85" s="8" t="s">
        <v>42</v>
      </c>
      <c r="C85" s="8" t="s">
        <v>21</v>
      </c>
      <c r="D85" s="8" t="s">
        <v>33</v>
      </c>
      <c r="E85" s="9">
        <v>8890</v>
      </c>
      <c r="F85" s="10">
        <v>46169</v>
      </c>
      <c r="G85" s="8" t="s">
        <v>36</v>
      </c>
      <c r="H85" s="8" t="s">
        <v>24</v>
      </c>
      <c r="I85" s="11">
        <v>88464.019047619</v>
      </c>
      <c r="J85" s="8"/>
      <c r="R85" t="b">
        <f t="shared" si="8"/>
        <v>1</v>
      </c>
      <c r="S85" t="b">
        <f t="shared" si="9"/>
        <v>0</v>
      </c>
      <c r="T85">
        <f t="shared" si="10"/>
        <v>0</v>
      </c>
      <c r="V85" t="str">
        <f t="shared" si="11"/>
        <v>10000</v>
      </c>
    </row>
    <row r="86" spans="1:22">
      <c r="A86" s="8">
        <v>21</v>
      </c>
      <c r="B86" s="8" t="s">
        <v>48</v>
      </c>
      <c r="C86" s="8" t="s">
        <v>21</v>
      </c>
      <c r="D86" s="8" t="s">
        <v>27</v>
      </c>
      <c r="E86" s="9">
        <v>8174</v>
      </c>
      <c r="F86" s="10">
        <v>46133</v>
      </c>
      <c r="G86" s="8" t="s">
        <v>36</v>
      </c>
      <c r="H86" s="8" t="s">
        <v>24</v>
      </c>
      <c r="I86" s="11">
        <v>67163.3333333333</v>
      </c>
      <c r="J86" s="8"/>
      <c r="R86" t="b">
        <f t="shared" si="8"/>
        <v>1</v>
      </c>
      <c r="S86" t="b">
        <f t="shared" si="9"/>
        <v>0</v>
      </c>
      <c r="T86">
        <f t="shared" si="10"/>
        <v>0</v>
      </c>
      <c r="V86" t="str">
        <f t="shared" si="11"/>
        <v>10000</v>
      </c>
    </row>
    <row r="87" spans="1:22">
      <c r="A87" s="8">
        <v>19</v>
      </c>
      <c r="B87" s="8" t="s">
        <v>20</v>
      </c>
      <c r="C87" s="8" t="s">
        <v>26</v>
      </c>
      <c r="D87" s="8" t="s">
        <v>31</v>
      </c>
      <c r="E87" s="9">
        <v>7837</v>
      </c>
      <c r="F87" s="10">
        <v>46131</v>
      </c>
      <c r="G87" s="8" t="s">
        <v>36</v>
      </c>
      <c r="H87" s="8" t="s">
        <v>28</v>
      </c>
      <c r="I87" s="11">
        <v>65979.9619047619</v>
      </c>
      <c r="J87" s="8"/>
      <c r="R87" t="b">
        <f t="shared" si="8"/>
        <v>1</v>
      </c>
      <c r="S87" t="b">
        <f t="shared" si="9"/>
        <v>0</v>
      </c>
      <c r="T87">
        <f t="shared" si="10"/>
        <v>0</v>
      </c>
      <c r="V87" t="str">
        <f t="shared" si="11"/>
        <v>5000</v>
      </c>
    </row>
    <row r="88" spans="1:22">
      <c r="A88" s="8">
        <v>27</v>
      </c>
      <c r="B88" s="8" t="s">
        <v>39</v>
      </c>
      <c r="C88" s="8" t="s">
        <v>38</v>
      </c>
      <c r="D88" s="8" t="s">
        <v>22</v>
      </c>
      <c r="E88" s="9">
        <v>6953</v>
      </c>
      <c r="F88" s="10">
        <v>46139</v>
      </c>
      <c r="G88" s="8" t="s">
        <v>40</v>
      </c>
      <c r="H88" s="8" t="s">
        <v>28</v>
      </c>
      <c r="I88" s="11">
        <v>70713.4476190476</v>
      </c>
      <c r="J88" s="8"/>
      <c r="R88" t="b">
        <f t="shared" si="8"/>
        <v>1</v>
      </c>
      <c r="S88" t="b">
        <f t="shared" si="9"/>
        <v>0</v>
      </c>
      <c r="T88">
        <f t="shared" si="10"/>
        <v>0</v>
      </c>
      <c r="V88" t="str">
        <f t="shared" si="11"/>
        <v>5000</v>
      </c>
    </row>
    <row r="89" spans="1:22">
      <c r="A89" s="8">
        <v>98</v>
      </c>
      <c r="B89" s="8" t="s">
        <v>20</v>
      </c>
      <c r="C89" s="8" t="s">
        <v>26</v>
      </c>
      <c r="D89" s="8" t="s">
        <v>22</v>
      </c>
      <c r="E89" s="9">
        <v>6788</v>
      </c>
      <c r="F89" s="10">
        <v>46210</v>
      </c>
      <c r="G89" s="8" t="s">
        <v>36</v>
      </c>
      <c r="H89" s="8" t="s">
        <v>28</v>
      </c>
      <c r="I89" s="11">
        <v>112723.133333333</v>
      </c>
      <c r="J89" s="8"/>
      <c r="R89" t="b">
        <f t="shared" si="8"/>
        <v>1</v>
      </c>
      <c r="S89" t="b">
        <f t="shared" si="9"/>
        <v>0</v>
      </c>
      <c r="T89">
        <f t="shared" si="10"/>
        <v>0</v>
      </c>
      <c r="V89" t="str">
        <f t="shared" si="11"/>
        <v>5000</v>
      </c>
    </row>
    <row r="90" spans="1:22">
      <c r="A90" s="8">
        <v>95</v>
      </c>
      <c r="B90" s="8" t="s">
        <v>37</v>
      </c>
      <c r="C90" s="8" t="s">
        <v>38</v>
      </c>
      <c r="D90" s="8" t="s">
        <v>31</v>
      </c>
      <c r="E90" s="9">
        <v>6648</v>
      </c>
      <c r="F90" s="10">
        <v>46207</v>
      </c>
      <c r="G90" s="8" t="s">
        <v>40</v>
      </c>
      <c r="H90" s="8" t="s">
        <v>24</v>
      </c>
      <c r="I90" s="11">
        <v>110948.076190476</v>
      </c>
      <c r="J90" s="8"/>
      <c r="R90" t="b">
        <f t="shared" si="8"/>
        <v>1</v>
      </c>
      <c r="S90" t="b">
        <f t="shared" si="9"/>
        <v>0</v>
      </c>
      <c r="T90">
        <f t="shared" si="10"/>
        <v>0</v>
      </c>
      <c r="V90" t="str">
        <f t="shared" si="11"/>
        <v>5000</v>
      </c>
    </row>
    <row r="91" spans="1:22">
      <c r="A91" s="8">
        <v>93</v>
      </c>
      <c r="B91" s="8" t="s">
        <v>42</v>
      </c>
      <c r="C91" s="8" t="s">
        <v>30</v>
      </c>
      <c r="D91" s="8" t="s">
        <v>31</v>
      </c>
      <c r="E91" s="9">
        <v>6603</v>
      </c>
      <c r="F91" s="10">
        <v>46205</v>
      </c>
      <c r="G91" s="8" t="s">
        <v>40</v>
      </c>
      <c r="H91" s="8" t="s">
        <v>24</v>
      </c>
      <c r="I91" s="11">
        <v>109764.704761905</v>
      </c>
      <c r="J91" s="8"/>
      <c r="R91" t="b">
        <f t="shared" si="8"/>
        <v>1</v>
      </c>
      <c r="S91" t="b">
        <f t="shared" si="9"/>
        <v>0</v>
      </c>
      <c r="T91">
        <f t="shared" si="10"/>
        <v>0</v>
      </c>
      <c r="V91" t="str">
        <f t="shared" si="11"/>
        <v>5000</v>
      </c>
    </row>
    <row r="92" spans="1:22">
      <c r="A92" s="8">
        <v>19</v>
      </c>
      <c r="B92" s="8" t="s">
        <v>41</v>
      </c>
      <c r="C92" s="8" t="s">
        <v>21</v>
      </c>
      <c r="D92" s="8" t="s">
        <v>45</v>
      </c>
      <c r="E92" s="9">
        <v>6067</v>
      </c>
      <c r="F92" s="10">
        <v>46132</v>
      </c>
      <c r="G92" s="8" t="s">
        <v>34</v>
      </c>
      <c r="H92" s="8" t="s">
        <v>24</v>
      </c>
      <c r="I92" s="11">
        <v>66571.6476190476</v>
      </c>
      <c r="J92" s="8"/>
      <c r="R92" t="b">
        <f t="shared" si="8"/>
        <v>1</v>
      </c>
      <c r="S92" t="b">
        <f t="shared" si="9"/>
        <v>0</v>
      </c>
      <c r="T92">
        <f t="shared" si="10"/>
        <v>0</v>
      </c>
      <c r="V92" t="str">
        <f t="shared" si="11"/>
        <v>5000</v>
      </c>
    </row>
    <row r="93" spans="1:22">
      <c r="A93" s="8">
        <v>42</v>
      </c>
      <c r="B93" s="8" t="s">
        <v>35</v>
      </c>
      <c r="C93" s="8" t="s">
        <v>38</v>
      </c>
      <c r="D93" s="8" t="s">
        <v>45</v>
      </c>
      <c r="E93" s="9">
        <v>5971</v>
      </c>
      <c r="F93" s="10">
        <v>46154</v>
      </c>
      <c r="G93" s="8" t="s">
        <v>23</v>
      </c>
      <c r="H93" s="8" t="s">
        <v>24</v>
      </c>
      <c r="I93" s="11">
        <v>79588.7333333333</v>
      </c>
      <c r="J93" s="8"/>
      <c r="R93" t="b">
        <f t="shared" si="8"/>
        <v>1</v>
      </c>
      <c r="S93" t="b">
        <f t="shared" si="9"/>
        <v>0</v>
      </c>
      <c r="T93">
        <f t="shared" si="10"/>
        <v>0</v>
      </c>
      <c r="V93" t="str">
        <f t="shared" si="11"/>
        <v>5000</v>
      </c>
    </row>
    <row r="94" spans="1:22">
      <c r="A94" s="8">
        <v>97</v>
      </c>
      <c r="B94" s="8" t="s">
        <v>20</v>
      </c>
      <c r="C94" s="8" t="s">
        <v>38</v>
      </c>
      <c r="D94" s="8" t="s">
        <v>27</v>
      </c>
      <c r="E94" s="9">
        <v>5858</v>
      </c>
      <c r="F94" s="10">
        <v>46209</v>
      </c>
      <c r="G94" s="8" t="s">
        <v>34</v>
      </c>
      <c r="H94" s="8" t="s">
        <v>24</v>
      </c>
      <c r="I94" s="11">
        <v>112131.447619048</v>
      </c>
      <c r="J94" s="8"/>
      <c r="R94" t="b">
        <f t="shared" si="8"/>
        <v>1</v>
      </c>
      <c r="S94" t="b">
        <f t="shared" si="9"/>
        <v>0</v>
      </c>
      <c r="T94">
        <f t="shared" si="10"/>
        <v>0</v>
      </c>
      <c r="V94" t="str">
        <f t="shared" si="11"/>
        <v>5000</v>
      </c>
    </row>
    <row r="95" spans="1:22">
      <c r="A95" s="8">
        <v>32</v>
      </c>
      <c r="B95" s="8" t="s">
        <v>42</v>
      </c>
      <c r="C95" s="8" t="s">
        <v>21</v>
      </c>
      <c r="D95" s="8" t="s">
        <v>22</v>
      </c>
      <c r="E95" s="9">
        <v>4521</v>
      </c>
      <c r="F95" s="10">
        <v>46144</v>
      </c>
      <c r="G95" s="8" t="s">
        <v>34</v>
      </c>
      <c r="H95" s="8" t="s">
        <v>28</v>
      </c>
      <c r="I95" s="11">
        <v>73671.8761904762</v>
      </c>
      <c r="J95" s="8"/>
      <c r="R95" t="b">
        <f t="shared" si="8"/>
        <v>1</v>
      </c>
      <c r="S95" t="b">
        <f t="shared" si="9"/>
        <v>0</v>
      </c>
      <c r="T95">
        <f t="shared" si="10"/>
        <v>0</v>
      </c>
      <c r="V95" t="str">
        <f t="shared" si="11"/>
        <v>0</v>
      </c>
    </row>
    <row r="96" spans="1:22">
      <c r="A96" s="8">
        <v>69</v>
      </c>
      <c r="B96" s="8" t="s">
        <v>42</v>
      </c>
      <c r="C96" s="8" t="s">
        <v>46</v>
      </c>
      <c r="D96" s="8" t="s">
        <v>22</v>
      </c>
      <c r="E96" s="9">
        <v>4270</v>
      </c>
      <c r="F96" s="10">
        <v>46181</v>
      </c>
      <c r="G96" s="8" t="s">
        <v>40</v>
      </c>
      <c r="H96" s="8" t="s">
        <v>28</v>
      </c>
      <c r="I96" s="11">
        <v>95564.2476190476</v>
      </c>
      <c r="J96" s="8"/>
      <c r="R96" t="b">
        <f t="shared" si="8"/>
        <v>1</v>
      </c>
      <c r="S96" t="b">
        <f t="shared" si="9"/>
        <v>0</v>
      </c>
      <c r="T96">
        <f t="shared" si="10"/>
        <v>0</v>
      </c>
      <c r="V96" t="str">
        <f t="shared" si="11"/>
        <v>0</v>
      </c>
    </row>
    <row r="97" spans="1:22">
      <c r="A97" s="8">
        <v>11</v>
      </c>
      <c r="B97" s="8" t="s">
        <v>48</v>
      </c>
      <c r="C97" s="8" t="s">
        <v>38</v>
      </c>
      <c r="D97" s="8" t="s">
        <v>31</v>
      </c>
      <c r="E97" s="9">
        <v>3443</v>
      </c>
      <c r="F97" s="10">
        <v>46123</v>
      </c>
      <c r="G97" s="8" t="s">
        <v>40</v>
      </c>
      <c r="H97" s="8" t="s">
        <v>24</v>
      </c>
      <c r="I97" s="11">
        <v>61246.4761904762</v>
      </c>
      <c r="J97" s="8"/>
      <c r="R97" t="b">
        <f t="shared" si="8"/>
        <v>1</v>
      </c>
      <c r="S97" t="b">
        <f t="shared" si="9"/>
        <v>0</v>
      </c>
      <c r="T97">
        <f t="shared" si="10"/>
        <v>0</v>
      </c>
      <c r="V97" t="str">
        <f t="shared" si="11"/>
        <v>0</v>
      </c>
    </row>
    <row r="98" spans="1:22">
      <c r="A98" s="8">
        <v>58</v>
      </c>
      <c r="B98" s="8" t="s">
        <v>41</v>
      </c>
      <c r="C98" s="8" t="s">
        <v>47</v>
      </c>
      <c r="D98" s="8" t="s">
        <v>31</v>
      </c>
      <c r="E98" s="9">
        <v>2523</v>
      </c>
      <c r="F98" s="10">
        <v>46170</v>
      </c>
      <c r="G98" s="8" t="s">
        <v>32</v>
      </c>
      <c r="H98" s="8" t="s">
        <v>28</v>
      </c>
      <c r="I98" s="11">
        <v>89055.7047619048</v>
      </c>
      <c r="J98" s="8"/>
      <c r="R98" t="b">
        <f t="shared" si="8"/>
        <v>1</v>
      </c>
      <c r="S98" t="b">
        <f t="shared" si="9"/>
        <v>0</v>
      </c>
      <c r="T98">
        <f t="shared" si="10"/>
        <v>0</v>
      </c>
      <c r="V98" t="str">
        <f t="shared" si="11"/>
        <v>0</v>
      </c>
    </row>
    <row r="99" spans="1:22">
      <c r="A99" s="8">
        <v>83</v>
      </c>
      <c r="B99" s="8" t="s">
        <v>42</v>
      </c>
      <c r="C99" s="8" t="s">
        <v>21</v>
      </c>
      <c r="D99" s="8" t="s">
        <v>31</v>
      </c>
      <c r="E99" s="9">
        <v>2357</v>
      </c>
      <c r="F99" s="10">
        <v>46195</v>
      </c>
      <c r="G99" s="8" t="s">
        <v>34</v>
      </c>
      <c r="H99" s="8" t="s">
        <v>24</v>
      </c>
      <c r="I99" s="11">
        <v>103847.847619048</v>
      </c>
      <c r="J99" s="8"/>
      <c r="R99" t="b">
        <f t="shared" si="8"/>
        <v>1</v>
      </c>
      <c r="S99" t="b">
        <f t="shared" si="9"/>
        <v>0</v>
      </c>
      <c r="T99">
        <f t="shared" si="10"/>
        <v>0</v>
      </c>
      <c r="V99" t="str">
        <f t="shared" si="11"/>
        <v>0</v>
      </c>
    </row>
    <row r="100" spans="1:22">
      <c r="A100" s="8">
        <v>72</v>
      </c>
      <c r="B100" s="8" t="s">
        <v>41</v>
      </c>
      <c r="C100" s="8" t="s">
        <v>21</v>
      </c>
      <c r="D100" s="8" t="s">
        <v>45</v>
      </c>
      <c r="E100" s="9">
        <v>1890</v>
      </c>
      <c r="F100" s="10">
        <v>46184</v>
      </c>
      <c r="G100" s="8" t="s">
        <v>36</v>
      </c>
      <c r="H100" s="8" t="s">
        <v>28</v>
      </c>
      <c r="I100" s="11">
        <v>97339.3047619048</v>
      </c>
      <c r="J100" s="8"/>
      <c r="R100" t="b">
        <f t="shared" si="8"/>
        <v>1</v>
      </c>
      <c r="S100" t="b">
        <f t="shared" si="9"/>
        <v>0</v>
      </c>
      <c r="T100">
        <f t="shared" si="10"/>
        <v>0</v>
      </c>
      <c r="V100" t="str">
        <f t="shared" si="11"/>
        <v>0</v>
      </c>
    </row>
    <row r="101" spans="1:22">
      <c r="A101" s="8">
        <v>56</v>
      </c>
      <c r="B101" s="8" t="s">
        <v>39</v>
      </c>
      <c r="C101" s="8" t="s">
        <v>38</v>
      </c>
      <c r="D101" s="8" t="s">
        <v>33</v>
      </c>
      <c r="E101" s="9">
        <v>1865</v>
      </c>
      <c r="F101" s="10">
        <v>46168</v>
      </c>
      <c r="G101" s="8" t="s">
        <v>32</v>
      </c>
      <c r="H101" s="8" t="s">
        <v>28</v>
      </c>
      <c r="I101" s="11">
        <v>87872.3333333333</v>
      </c>
      <c r="J101" s="8"/>
      <c r="R101" t="b">
        <f t="shared" si="8"/>
        <v>1</v>
      </c>
      <c r="S101" t="b">
        <f t="shared" si="9"/>
        <v>0</v>
      </c>
      <c r="T101">
        <f t="shared" si="10"/>
        <v>0</v>
      </c>
      <c r="V101" t="str">
        <f t="shared" si="11"/>
        <v>0</v>
      </c>
    </row>
    <row r="102" spans="1:22">
      <c r="R102" t="b">
        <f t="shared" si="8"/>
        <v>0</v>
      </c>
      <c r="S102" t="b">
        <f t="shared" si="9"/>
        <v>1</v>
      </c>
      <c r="T102" t="str">
        <f t="shared" si="10"/>
        <v>no salary</v>
      </c>
      <c r="V102" t="str">
        <f t="shared" si="11"/>
        <v>0</v>
      </c>
    </row>
  </sheetData>
  <conditionalFormatting sqref="D$1:D$1048576">
    <cfRule type="containsText" dxfId="0" priority="3" operator="between" text="Up">
      <formula>NOT(ISERROR(SEARCH("Up",D1)))</formula>
    </cfRule>
  </conditionalFormatting>
  <conditionalFormatting sqref="E$1:E$1048576">
    <cfRule type="containsText" dxfId="1" priority="7" operator="between" text="No Sales">
      <formula>NOT(ISERROR(SEARCH("No Sales",E1)))</formula>
    </cfRule>
  </conditionalFormatting>
  <conditionalFormatting sqref="F$1:F$1048576">
    <cfRule type="timePeriod" dxfId="2" priority="6" timePeriod="tomorrow">
      <formula>FLOOR(F1,1)=TODAY()+1</formula>
    </cfRule>
    <cfRule type="timePeriod" dxfId="3" priority="5" timePeriod="thisWeek">
      <formula>AND(TODAY()-ROUNDDOWN(F1,0)&lt;=WEEKDAY(TODAY())-1,ROUNDDOWN(F1,0)-TODAY()&lt;=7-WEEKDAY(TODAY()))</formula>
    </cfRule>
    <cfRule type="timePeriod" dxfId="2" priority="4" timePeriod="yesterday">
      <formula>FLOOR(F1,1)=TODAY()-1</formula>
    </cfRule>
    <cfRule type="timePeriod" dxfId="2" priority="2" timePeriod="nextMonth">
      <formula>AND(MONTH(F1)=MONTH(EDATE(TODAY(),0+1)),YEAR(F1)=YEAR(EDATE(TODAY(),0+1)))</formula>
    </cfRule>
    <cfRule type="timePeriod" dxfId="4" priority="1" timePeriod="yesterday">
      <formula>FLOOR(F1,1)=TODAY()-1</formula>
    </cfRule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Big_Messy_Data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mrayu</cp:lastModifiedBy>
  <dcterms:created xsi:type="dcterms:W3CDTF">2026-04-15T05:28:00Z</dcterms:created>
  <dcterms:modified xsi:type="dcterms:W3CDTF">2026-04-18T11:11:33Z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62822A77CE66462190F037824456524A_12</vt:lpwstr>
  </property>
  <property fmtid="{D5CDD505-2E9C-101B-9397-08002B2CF9AE}" pid="3" name="KSOProductBuildVer">
    <vt:lpwstr>1033-12.1.0.25830</vt:lpwstr>
  </property>
  <property fmtid="{D5CDD505-2E9C-101B-9397-08002B2CF9AE}" pid="4" name="CalculationRule">
    <vt:i4>0</vt:i4>
  </property>
  <property fmtid="{D5CDD505-2E9C-101B-9397-08002B2CF9AE}" pid="5" name="KSOReadingLayout">
    <vt:bool>false</vt:bool>
  </property>
</Properties>
</file>