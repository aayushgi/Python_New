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3040" windowHeight="900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<sst xmlns="http://schemas.openxmlformats.org/spreadsheetml/2006/main" count="53" uniqueCount="33">
  <si>
    <t>Vansh Computer &amp; Acessories</t>
  </si>
  <si>
    <t>Saradpur Sector-45, Near V.K Jeweller</t>
  </si>
  <si>
    <t>Noida Sector-45,UP</t>
  </si>
  <si>
    <t>Invoice</t>
  </si>
  <si>
    <t>Bill No.</t>
  </si>
  <si>
    <t>Date</t>
  </si>
  <si>
    <t>Name:</t>
  </si>
  <si>
    <t>Contact:</t>
  </si>
  <si>
    <t>Address:</t>
  </si>
  <si>
    <t>S.No.</t>
  </si>
  <si>
    <t>Perticulars</t>
  </si>
  <si>
    <t>Rate</t>
  </si>
  <si>
    <t>Quantity</t>
  </si>
  <si>
    <t>Amount</t>
  </si>
  <si>
    <t>Total Amount</t>
  </si>
  <si>
    <t>SGST 9%</t>
  </si>
  <si>
    <t>CGST 9%</t>
  </si>
  <si>
    <t>Grand Total</t>
  </si>
  <si>
    <t>Authorised signature</t>
  </si>
  <si>
    <t>22/4/26</t>
  </si>
  <si>
    <t>Abhay</t>
  </si>
  <si>
    <t>lucknow</t>
  </si>
  <si>
    <t>Bill no</t>
  </si>
  <si>
    <t>date</t>
  </si>
  <si>
    <t>name</t>
  </si>
  <si>
    <t>contact</t>
  </si>
  <si>
    <t>address</t>
  </si>
  <si>
    <t>total amount</t>
  </si>
  <si>
    <t>cgst</t>
  </si>
  <si>
    <t>sgst</t>
  </si>
  <si>
    <t>grand total</t>
  </si>
  <si>
    <t>Ayush</t>
  </si>
  <si>
    <t>gdhdj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</si>
</sst>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m/d/yyyy;@"/>
  </numFmts>
  <fonts count="27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4"/>
      <color theme="0"/>
      <name val="Arial Black"/>
      <charset val="134"/>
    </font>
    <font>
      <sz val="11"/>
      <color theme="1"/>
      <name val="Arial Rounded MT Bold"/>
      <charset val="134"/>
    </font>
    <font>
      <sz val="11"/>
      <color theme="0"/>
      <name val="Bahnschrift SemiBold"/>
      <charset val="134"/>
    </font>
    <font>
      <sz val="11"/>
      <color theme="1"/>
      <name val="Arial Black"/>
      <charset val="134"/>
    </font>
    <font>
      <b/>
      <sz val="11"/>
      <color theme="1"/>
      <name val="Arial Black"/>
      <charset val="134"/>
    </font>
    <font>
      <sz val="11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7" tint="-0.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5" borderId="18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19" applyNumberFormat="0" applyFill="0" applyAlignment="0" applyProtection="0">
      <alignment vertical="center"/>
    </xf>
    <xf numFmtId="0" fontId="14" fillId="0" borderId="19" applyNumberFormat="0" applyFill="0" applyAlignment="0" applyProtection="0">
      <alignment vertical="center"/>
    </xf>
    <xf numFmtId="0" fontId="15" fillId="0" borderId="20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21" applyNumberFormat="0" applyAlignment="0" applyProtection="0">
      <alignment vertical="center"/>
    </xf>
    <xf numFmtId="0" fontId="17" fillId="7" borderId="22" applyNumberFormat="0" applyAlignment="0" applyProtection="0">
      <alignment vertical="center"/>
    </xf>
    <xf numFmtId="0" fontId="18" fillId="7" borderId="21" applyNumberFormat="0" applyAlignment="0" applyProtection="0">
      <alignment vertical="center"/>
    </xf>
    <xf numFmtId="0" fontId="19" fillId="8" borderId="23" applyNumberFormat="0" applyAlignment="0" applyProtection="0">
      <alignment vertical="center"/>
    </xf>
    <xf numFmtId="0" fontId="20" fillId="0" borderId="24" applyNumberFormat="0" applyFill="0" applyAlignment="0" applyProtection="0">
      <alignment vertical="center"/>
    </xf>
    <xf numFmtId="0" fontId="21" fillId="0" borderId="25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0" fontId="0" fillId="0" borderId="2" xfId="0" applyBorder="1">
      <alignment vertical="center"/>
    </xf>
    <xf numFmtId="0" fontId="0" fillId="0" borderId="1" xfId="0" applyBorder="1" applyAlignment="1">
      <alignment horizontal="center" vertical="center"/>
    </xf>
    <xf numFmtId="178" fontId="0" fillId="0" borderId="1" xfId="0" applyNumberFormat="1" applyBorder="1">
      <alignment vertical="center"/>
    </xf>
    <xf numFmtId="0" fontId="2" fillId="2" borderId="3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3" borderId="6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vertical="center"/>
    </xf>
    <xf numFmtId="0" fontId="3" fillId="4" borderId="9" xfId="0" applyFont="1" applyFill="1" applyBorder="1" applyAlignment="1">
      <alignment vertical="center"/>
    </xf>
    <xf numFmtId="0" fontId="3" fillId="4" borderId="2" xfId="0" applyFont="1" applyFill="1" applyBorder="1" applyAlignment="1">
      <alignment vertical="center"/>
    </xf>
    <xf numFmtId="0" fontId="3" fillId="4" borderId="10" xfId="0" applyFont="1" applyFill="1" applyBorder="1" applyAlignment="1">
      <alignment vertical="center"/>
    </xf>
    <xf numFmtId="58" fontId="3" fillId="4" borderId="11" xfId="0" applyNumberFormat="1" applyFont="1" applyFill="1" applyBorder="1" applyAlignment="1">
      <alignment vertical="center"/>
    </xf>
    <xf numFmtId="0" fontId="3" fillId="4" borderId="9" xfId="0" applyFont="1" applyFill="1" applyBorder="1" applyAlignment="1">
      <alignment horizontal="right" vertical="center"/>
    </xf>
    <xf numFmtId="0" fontId="3" fillId="4" borderId="11" xfId="0" applyFont="1" applyFill="1" applyBorder="1" applyAlignment="1">
      <alignment horizontal="right" vertical="center"/>
    </xf>
    <xf numFmtId="0" fontId="6" fillId="3" borderId="6" xfId="0" applyFont="1" applyFill="1" applyBorder="1">
      <alignment vertical="center"/>
    </xf>
    <xf numFmtId="0" fontId="6" fillId="3" borderId="1" xfId="0" applyFont="1" applyFill="1" applyBorder="1">
      <alignment vertical="center"/>
    </xf>
    <xf numFmtId="0" fontId="6" fillId="3" borderId="7" xfId="0" applyFont="1" applyFill="1" applyBorder="1">
      <alignment vertical="center"/>
    </xf>
    <xf numFmtId="0" fontId="0" fillId="0" borderId="12" xfId="0" applyBorder="1">
      <alignment vertical="center"/>
    </xf>
    <xf numFmtId="0" fontId="0" fillId="0" borderId="0" xfId="0" applyBorder="1">
      <alignment vertical="center"/>
    </xf>
    <xf numFmtId="0" fontId="0" fillId="0" borderId="13" xfId="0" applyBorder="1">
      <alignment vertical="center"/>
    </xf>
    <xf numFmtId="0" fontId="7" fillId="0" borderId="1" xfId="0" applyFont="1" applyBorder="1">
      <alignment vertical="center"/>
    </xf>
    <xf numFmtId="0" fontId="0" fillId="0" borderId="7" xfId="0" applyBorder="1">
      <alignment vertical="center"/>
    </xf>
    <xf numFmtId="0" fontId="7" fillId="3" borderId="1" xfId="0" applyFont="1" applyFill="1" applyBorder="1">
      <alignment vertical="center"/>
    </xf>
    <xf numFmtId="0" fontId="0" fillId="3" borderId="7" xfId="0" applyFill="1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6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5"/>
      <tableStyleElement type="headerRow" dxfId="14"/>
      <tableStyleElement type="totalRow" dxfId="13"/>
      <tableStyleElement type="firstColumn" dxfId="12"/>
      <tableStyleElement type="lastColumn" dxfId="11"/>
      <tableStyleElement type="firstRowStripe" dxfId="10"/>
      <tableStyleElement type="firstColumnStripe" dxfId="9"/>
    </tableStyle>
    <tableStyle name="PivotStylePreset2_Accent1" table="0" count="10" xr9:uid="{267968C8-6FFD-4C36-ACC1-9EA1FD1885CA}">
      <tableStyleElement type="headerRow" dxfId="25"/>
      <tableStyleElement type="totalRow" dxfId="24"/>
      <tableStyleElement type="firstRowStripe" dxfId="23"/>
      <tableStyleElement type="firstColumnStripe" dxfId="22"/>
      <tableStyleElement type="firstSubtotalRow" dxfId="21"/>
      <tableStyleElement type="secondSubtotalRow" dxfId="20"/>
      <tableStyleElement type="firstRowSubheading" dxfId="19"/>
      <tableStyleElement type="secondRowSubheading" dxfId="18"/>
      <tableStyleElement type="pageFieldLabels" dxfId="17"/>
      <tableStyleElement type="pageFieldValues" dxfId="16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1" displayName="Table1" ref="A1:I33" totalsRowShown="0">
  <autoFilter xmlns:etc="http://www.wps.cn/officeDocument/2017/etCustomData" ref="A1:I33" etc:filterBottomFollowUsedRange="0"/>
  <tableColumns count="9">
    <tableColumn id="1" name="Bill no" dataDxfId="0"/>
    <tableColumn id="2" name="date" dataDxfId="1"/>
    <tableColumn id="3" name="name" dataDxfId="2"/>
    <tableColumn id="4" name="contact" dataDxfId="3"/>
    <tableColumn id="5" name="address" dataDxfId="4"/>
    <tableColumn id="6" name="total amount" dataDxfId="5"/>
    <tableColumn id="7" name="cgst" dataDxfId="6"/>
    <tableColumn id="8" name="sgst" dataDxfId="7"/>
    <tableColumn id="9" name="grand total" dataDxfId="8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3"/>
  <sheetViews>
    <sheetView tabSelected="1" workbookViewId="0">
      <selection activeCell="B5" sqref="B5"/>
    </sheetView>
  </sheetViews>
  <sheetFormatPr defaultColWidth="8.88888888888889" defaultRowHeight="14.4" outlineLevelCol="7"/>
  <cols>
    <col min="2" max="2" width="14.5555555555556" customWidth="1"/>
    <col min="3" max="3" width="13.5555555555556" customWidth="1"/>
    <col min="4" max="4" width="12.4444444444444" customWidth="1"/>
    <col min="5" max="5" width="31.4444444444444" customWidth="1"/>
    <col min="8" max="8" width="11.7777777777778"/>
  </cols>
  <sheetData>
    <row r="1" ht="21" spans="1:8">
      <c r="A1" s="6" t="s">
        <v>0</v>
      </c>
      <c r="B1" s="7"/>
      <c r="C1" s="7"/>
      <c r="D1" s="7"/>
      <c r="E1" s="8"/>
      <c r="H1" s="9">
        <f>B5</f>
        <v>0</v>
      </c>
    </row>
    <row r="2" spans="1:8">
      <c r="A2" s="10" t="s">
        <v>1</v>
      </c>
      <c r="B2" s="11"/>
      <c r="C2" s="11"/>
      <c r="D2" s="11"/>
      <c r="E2" s="12"/>
      <c r="H2" s="9">
        <f>E5</f>
        <v>0</v>
      </c>
    </row>
    <row r="3" spans="1:8">
      <c r="A3" s="13" t="s">
        <v>2</v>
      </c>
      <c r="B3" s="14"/>
      <c r="C3" s="14"/>
      <c r="D3" s="14"/>
      <c r="E3" s="15"/>
      <c r="H3" s="9">
        <f>B6</f>
        <v>0</v>
      </c>
    </row>
    <row r="4" ht="17.4" spans="1:8">
      <c r="A4" s="16" t="s">
        <v>3</v>
      </c>
      <c r="B4" s="11"/>
      <c r="C4" s="11"/>
      <c r="D4" s="11"/>
      <c r="E4" s="12"/>
      <c r="H4" s="9">
        <f>C7</f>
        <v>0</v>
      </c>
    </row>
    <row r="5" spans="1:8">
      <c r="A5" s="17" t="s">
        <v>4</v>
      </c>
      <c r="B5" s="18"/>
      <c r="C5" s="19"/>
      <c r="D5" s="20" t="s">
        <v>5</v>
      </c>
      <c r="E5" s="21"/>
      <c r="H5" s="9">
        <f>C8</f>
        <v>0</v>
      </c>
    </row>
    <row r="6" spans="1:8">
      <c r="A6" s="17" t="s">
        <v>6</v>
      </c>
      <c r="B6" s="22"/>
      <c r="C6" s="22"/>
      <c r="D6" s="22"/>
      <c r="E6" s="23"/>
      <c r="H6" s="9">
        <f>E33</f>
        <v>0</v>
      </c>
    </row>
    <row r="7" spans="1:8">
      <c r="A7" s="17" t="s">
        <v>7</v>
      </c>
      <c r="B7"/>
      <c r="C7"/>
      <c r="D7" s="22"/>
      <c r="E7" s="23"/>
      <c r="H7" s="9">
        <f>E35</f>
        <v>0</v>
      </c>
    </row>
    <row r="8" spans="1:8">
      <c r="A8" s="17" t="s">
        <v>8</v>
      </c>
      <c r="B8" s="22"/>
      <c r="C8" s="22"/>
      <c r="D8" s="22"/>
      <c r="E8" s="23"/>
      <c r="H8" s="9">
        <f>E34</f>
        <v>0</v>
      </c>
    </row>
    <row r="9" ht="17.4" spans="1:8">
      <c r="A9" s="24" t="s">
        <v>9</v>
      </c>
      <c r="B9" s="25" t="s">
        <v>10</v>
      </c>
      <c r="C9" s="25" t="s">
        <v>11</v>
      </c>
      <c r="D9" s="25" t="s">
        <v>12</v>
      </c>
      <c r="E9" s="26" t="s">
        <v>13</v>
      </c>
      <c r="H9" s="9">
        <f>E36</f>
        <v>0</v>
      </c>
    </row>
    <row r="10" spans="1:8">
      <c r="A10" s="27"/>
      <c r="B10" s="28"/>
      <c r="C10" s="28"/>
      <c r="D10" s="28"/>
      <c r="E10" s="29" t="str">
        <f>IF(NOT(ISBLANK(B10)),(C10*D10),"")</f>
        <v/>
      </c>
    </row>
    <row r="11" spans="1:8">
      <c r="A11" s="27"/>
      <c r="B11" s="28"/>
      <c r="C11" s="28"/>
      <c r="D11" s="28"/>
      <c r="E11" s="29" t="str">
        <f t="shared" ref="E11:E30" si="0">IF(NOT(ISBLANK(B11)),(C11*D11),"")</f>
        <v/>
      </c>
    </row>
    <row r="12" spans="1:8">
      <c r="A12" s="27"/>
      <c r="B12" s="28"/>
      <c r="C12" s="28"/>
      <c r="D12" s="28"/>
      <c r="E12" s="29" t="str">
        <f t="shared" si="0"/>
        <v/>
      </c>
    </row>
    <row r="13" spans="1:8">
      <c r="A13" s="27"/>
      <c r="B13" s="28"/>
      <c r="C13" s="28"/>
      <c r="D13" s="28"/>
      <c r="E13" s="29" t="str">
        <f t="shared" si="0"/>
        <v/>
      </c>
    </row>
    <row r="14" spans="1:8">
      <c r="A14" s="27"/>
      <c r="B14" s="28"/>
      <c r="C14" s="28"/>
      <c r="D14" s="28"/>
      <c r="E14" s="29" t="str">
        <f t="shared" si="0"/>
        <v/>
      </c>
    </row>
    <row r="15" spans="1:8">
      <c r="A15" s="27"/>
      <c r="B15" s="28"/>
      <c r="C15" s="28"/>
      <c r="D15" s="28"/>
      <c r="E15" s="29" t="str">
        <f t="shared" si="0"/>
        <v/>
      </c>
    </row>
    <row r="16" spans="1:8">
      <c r="A16" s="27"/>
      <c r="B16" s="28"/>
      <c r="C16" s="28"/>
      <c r="D16" s="28"/>
      <c r="E16" s="29" t="str">
        <f t="shared" si="0"/>
        <v/>
      </c>
    </row>
    <row r="17" spans="1:5">
      <c r="A17" s="27"/>
      <c r="B17" s="28"/>
      <c r="C17" s="28"/>
      <c r="D17" s="28"/>
      <c r="E17" s="29" t="str">
        <f t="shared" si="0"/>
        <v/>
      </c>
    </row>
    <row r="18" spans="1:5">
      <c r="A18" s="27"/>
      <c r="B18" s="28"/>
      <c r="C18" s="28"/>
      <c r="D18" s="28"/>
      <c r="E18" s="29" t="str">
        <f t="shared" si="0"/>
        <v/>
      </c>
    </row>
    <row r="19" spans="1:5">
      <c r="A19" s="27"/>
      <c r="B19" s="28"/>
      <c r="C19" s="28"/>
      <c r="D19" s="28"/>
      <c r="E19" s="29" t="str">
        <f t="shared" si="0"/>
        <v/>
      </c>
    </row>
    <row r="20" spans="1:5">
      <c r="A20" s="27"/>
      <c r="B20" s="28"/>
      <c r="C20" s="28"/>
      <c r="D20" s="28"/>
      <c r="E20" s="29" t="str">
        <f t="shared" si="0"/>
        <v/>
      </c>
    </row>
    <row r="21" spans="1:5">
      <c r="A21" s="27"/>
      <c r="B21" s="28"/>
      <c r="C21" s="28"/>
      <c r="D21" s="28"/>
      <c r="E21" s="29" t="str">
        <f t="shared" si="0"/>
        <v/>
      </c>
    </row>
    <row r="22" spans="1:5">
      <c r="A22" s="27"/>
      <c r="B22" s="28"/>
      <c r="C22" s="28"/>
      <c r="D22" s="28"/>
      <c r="E22" s="29" t="str">
        <f t="shared" si="0"/>
        <v/>
      </c>
    </row>
    <row r="23" spans="1:5">
      <c r="A23" s="27"/>
      <c r="B23" s="28"/>
      <c r="C23" s="28"/>
      <c r="D23" s="28"/>
      <c r="E23" s="29" t="str">
        <f t="shared" si="0"/>
        <v/>
      </c>
    </row>
    <row r="24" spans="1:5">
      <c r="A24" s="27"/>
      <c r="B24" s="28"/>
      <c r="C24" s="28"/>
      <c r="D24" s="28"/>
      <c r="E24" s="29" t="str">
        <f t="shared" si="0"/>
        <v/>
      </c>
    </row>
    <row r="25" spans="1:5">
      <c r="A25" s="27"/>
      <c r="B25" s="28"/>
      <c r="C25" s="28"/>
      <c r="D25" s="28"/>
      <c r="E25" s="29" t="str">
        <f t="shared" si="0"/>
        <v/>
      </c>
    </row>
    <row r="26" spans="1:5">
      <c r="A26" s="27"/>
      <c r="B26" s="28"/>
      <c r="C26" s="28"/>
      <c r="D26" s="28"/>
      <c r="E26" s="29" t="str">
        <f t="shared" si="0"/>
        <v/>
      </c>
    </row>
    <row r="27" spans="1:5">
      <c r="A27" s="27"/>
      <c r="B27" s="28"/>
      <c r="C27" s="28"/>
      <c r="D27" s="28"/>
      <c r="E27" s="29" t="str">
        <f t="shared" si="0"/>
        <v/>
      </c>
    </row>
    <row r="28" spans="1:5">
      <c r="A28" s="27"/>
      <c r="B28" s="28"/>
      <c r="E28" s="29" t="str">
        <f t="shared" si="0"/>
        <v/>
      </c>
    </row>
    <row r="29" spans="1:5">
      <c r="A29" s="27"/>
      <c r="B29" s="28"/>
      <c r="E29" s="29" t="str">
        <f t="shared" si="0"/>
        <v/>
      </c>
    </row>
    <row r="30" spans="1:5">
      <c r="A30" s="27"/>
      <c r="B30" s="28"/>
      <c r="E30" s="29" t="str">
        <f t="shared" si="0"/>
        <v/>
      </c>
    </row>
    <row r="31" spans="1:5">
      <c r="A31" s="27"/>
      <c r="E31" s="29"/>
    </row>
    <row r="32" spans="1:5">
      <c r="A32" s="27"/>
      <c r="E32" s="29"/>
    </row>
    <row r="33" spans="1:5">
      <c r="A33" s="27"/>
      <c r="D33" s="30" t="s">
        <v>14</v>
      </c>
      <c r="E33" s="31">
        <f>IF(NOT(ISBLANK(E10)),SUM(E10:E30),"")</f>
        <v>0</v>
      </c>
    </row>
    <row r="34" spans="1:5">
      <c r="A34" s="27"/>
      <c r="D34" s="30" t="s">
        <v>15</v>
      </c>
      <c r="E34" s="31">
        <f>IF(NOT(ISBLANK(E10)),SUM(E10:E30)*0.09,"")</f>
        <v>0</v>
      </c>
    </row>
    <row r="35" spans="1:5">
      <c r="A35" s="27"/>
      <c r="D35" s="30" t="s">
        <v>16</v>
      </c>
      <c r="E35" s="31">
        <f>IF(NOT(ISBLANK(E10)),SUM(E10:E30)*0.09,"")</f>
        <v>0</v>
      </c>
    </row>
    <row r="36" spans="1:5">
      <c r="A36" s="27"/>
      <c r="D36" s="32" t="s">
        <v>17</v>
      </c>
      <c r="E36" s="33">
        <f>SUM(E33:E35)</f>
        <v>0</v>
      </c>
    </row>
    <row r="37" spans="1:5">
      <c r="A37" s="27"/>
      <c r="E37" s="29"/>
    </row>
    <row r="38" spans="1:5">
      <c r="A38" s="27"/>
      <c r="E38" s="29"/>
    </row>
    <row r="39" spans="1:5">
      <c r="A39" s="27"/>
      <c r="E39" s="29"/>
    </row>
    <row r="40" spans="1:5">
      <c r="A40" s="27"/>
      <c r="E40" s="29"/>
    </row>
    <row r="41" spans="1:5">
      <c r="A41" s="27"/>
      <c r="E41" s="29"/>
    </row>
    <row r="42" spans="1:5">
      <c r="A42" s="27"/>
      <c r="E42" s="29"/>
    </row>
    <row r="43" ht="15.15" spans="1:5">
      <c r="A43" s="34"/>
      <c r="B43" s="35"/>
      <c r="C43" s="35"/>
      <c r="D43" s="36" t="s">
        <v>18</v>
      </c>
      <c r="E43" s="37"/>
    </row>
  </sheetData>
  <mergeCells count="5">
    <mergeCell ref="A1:E1"/>
    <mergeCell ref="A2:E2"/>
    <mergeCell ref="A3:E3"/>
    <mergeCell ref="A4:E4"/>
    <mergeCell ref="D43:E43"/>
  </mergeCells>
  <dataValidations count="1">
    <dataValidation type="list" allowBlank="1" showInputMessage="1" showErrorMessage="1" sqref="B10:B30">
      <formula1>"Laptop,Mouse,Keyboard,Moniter,Chrager"</formula1>
    </dataValidation>
  </dataValidation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"/>
  <sheetViews>
    <sheetView workbookViewId="0">
      <selection activeCell="A1" sqref="A1:I1"/>
    </sheetView>
  </sheetViews>
  <sheetFormatPr defaultColWidth="8.88888888888889" defaultRowHeight="14.4"/>
  <sheetData>
    <row r="1" spans="1:9">
      <c r="A1">
        <v>1009</v>
      </c>
      <c r="B1" t="s">
        <v>19</v>
      </c>
      <c r="C1" t="s">
        <v>20</v>
      </c>
      <c r="D1">
        <v>99846536</v>
      </c>
      <c r="E1" t="s">
        <v>21</v>
      </c>
      <c r="F1">
        <v>23000</v>
      </c>
      <c r="G1">
        <v>2070</v>
      </c>
      <c r="H1">
        <v>2070</v>
      </c>
      <c r="I1">
        <v>27140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8"/>
  <sheetViews>
    <sheetView workbookViewId="0">
      <selection activeCell="A2" sqref="A2:I2"/>
    </sheetView>
  </sheetViews>
  <sheetFormatPr defaultColWidth="8.88888888888889" defaultRowHeight="14.4"/>
  <cols>
    <col min="2" max="2" width="10.2222222222222"/>
    <col min="4" max="4" width="11.7777777777778"/>
    <col min="6" max="6" width="13.7777777777778" customWidth="1"/>
  </cols>
  <sheetData>
    <row r="1" s="1" customFormat="1" spans="1:10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3"/>
    </row>
    <row r="2" spans="1:10">
      <c r="A2" s="2" t="s">
        <v>22</v>
      </c>
      <c r="B2" s="2" t="s">
        <v>23</v>
      </c>
      <c r="C2" s="2" t="s">
        <v>24</v>
      </c>
      <c r="D2" s="2" t="s">
        <v>25</v>
      </c>
      <c r="E2" s="2" t="s">
        <v>26</v>
      </c>
      <c r="F2" s="2" t="s">
        <v>27</v>
      </c>
      <c r="G2" s="2" t="s">
        <v>28</v>
      </c>
      <c r="H2" s="2" t="s">
        <v>29</v>
      </c>
      <c r="I2" s="2" t="s">
        <v>30</v>
      </c>
    </row>
    <row r="3" spans="1:10">
      <c r="A3" s="2" t="s">
        <v>22</v>
      </c>
      <c r="B3" s="2" t="s">
        <v>23</v>
      </c>
      <c r="C3" s="2" t="s">
        <v>24</v>
      </c>
      <c r="D3" s="2" t="s">
        <v>25</v>
      </c>
      <c r="E3" s="2" t="s">
        <v>26</v>
      </c>
      <c r="F3" s="2" t="s">
        <v>27</v>
      </c>
      <c r="G3" s="2" t="s">
        <v>28</v>
      </c>
      <c r="H3" s="2" t="s">
        <v>29</v>
      </c>
      <c r="I3" s="2" t="s">
        <v>30</v>
      </c>
    </row>
    <row r="4" spans="1:10">
      <c r="A4">
        <v>1232</v>
      </c>
      <c r="B4">
        <v>46359</v>
      </c>
      <c r="C4" t="s">
        <v>31</v>
      </c>
      <c r="D4">
        <v>8299356981</v>
      </c>
      <c r="E4" t="s">
        <v>32</v>
      </c>
      <c r="F4">
        <v>53150</v>
      </c>
      <c r="G4">
        <v>4783.5</v>
      </c>
      <c r="H4">
        <v>4783.5</v>
      </c>
      <c r="I4">
        <v>62717</v>
      </c>
    </row>
    <row r="5" spans="1:10">
      <c r="A5" s="4">
        <v>1232</v>
      </c>
      <c r="B5" s="5">
        <v>46359</v>
      </c>
      <c r="C5" s="1" t="s">
        <v>31</v>
      </c>
      <c r="D5" s="4">
        <v>8299356981</v>
      </c>
      <c r="E5" s="1" t="s">
        <v>32</v>
      </c>
      <c r="F5" s="4">
        <v>53150</v>
      </c>
      <c r="G5" s="4">
        <v>4783.5</v>
      </c>
      <c r="H5" s="4">
        <v>4783.5</v>
      </c>
      <c r="I5" s="4">
        <v>62717</v>
      </c>
    </row>
    <row r="6" spans="1:10">
      <c r="A6" s="1"/>
      <c r="B6" s="1"/>
      <c r="C6" s="1"/>
      <c r="D6" s="1"/>
      <c r="E6" s="1"/>
      <c r="F6" s="1"/>
      <c r="G6" s="1"/>
      <c r="H6" s="1"/>
      <c r="I6" s="1"/>
    </row>
    <row r="7" spans="1:10">
      <c r="A7" s="1"/>
      <c r="B7" s="1"/>
      <c r="C7" s="1"/>
      <c r="D7" s="1"/>
      <c r="E7" s="1"/>
      <c r="F7" s="1"/>
      <c r="G7" s="1"/>
      <c r="H7" s="1"/>
      <c r="I7" s="1"/>
    </row>
    <row r="8" spans="1:10">
      <c r="A8" s="1"/>
      <c r="B8" s="1"/>
      <c r="C8" s="1"/>
      <c r="D8" s="1"/>
      <c r="E8" s="1"/>
      <c r="F8" s="1"/>
      <c r="G8" s="1"/>
      <c r="H8" s="1"/>
      <c r="I8" s="1"/>
    </row>
    <row r="9" spans="1:10">
      <c r="A9" s="1"/>
      <c r="B9" s="1"/>
      <c r="C9" s="1"/>
      <c r="D9" s="1"/>
      <c r="E9" s="1"/>
      <c r="F9" s="1"/>
      <c r="G9" s="1"/>
      <c r="H9" s="1"/>
      <c r="I9" s="1"/>
    </row>
    <row r="10" spans="1:10">
      <c r="A10" s="1"/>
      <c r="B10" s="1"/>
      <c r="C10" s="1"/>
      <c r="D10" s="1"/>
      <c r="E10" s="1"/>
      <c r="F10" s="1"/>
      <c r="G10" s="1"/>
      <c r="H10" s="1"/>
      <c r="I10" s="1"/>
    </row>
    <row r="11" spans="1:10">
      <c r="A11" s="1"/>
      <c r="B11" s="1"/>
      <c r="C11" s="1"/>
      <c r="D11" s="1"/>
      <c r="E11" s="1"/>
      <c r="F11" s="1"/>
      <c r="G11" s="1"/>
      <c r="H11" s="1"/>
      <c r="I11" s="1"/>
    </row>
    <row r="12" spans="1:10">
      <c r="A12" s="1"/>
      <c r="B12" s="1"/>
      <c r="C12" s="1"/>
      <c r="D12" s="1"/>
      <c r="E12" s="1"/>
      <c r="F12" s="1"/>
      <c r="G12" s="1"/>
      <c r="H12" s="1"/>
      <c r="I12" s="1"/>
    </row>
    <row r="13" spans="1:10">
      <c r="A13" s="1"/>
      <c r="B13" s="1"/>
      <c r="C13" s="1"/>
      <c r="D13" s="1"/>
      <c r="E13" s="1"/>
      <c r="F13" s="1"/>
      <c r="G13" s="1"/>
      <c r="H13" s="1"/>
      <c r="I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</row>
    <row r="17" spans="1:9">
      <c r="A17" s="1"/>
      <c r="B17" s="1"/>
      <c r="C17" s="1"/>
      <c r="D17" s="1"/>
      <c r="E17" s="1"/>
      <c r="F17" s="1"/>
      <c r="G17" s="1"/>
      <c r="H17" s="1"/>
      <c r="I17" s="1"/>
    </row>
    <row r="18" spans="1:9">
      <c r="A18" s="1"/>
      <c r="B18" s="1"/>
      <c r="C18" s="1"/>
      <c r="D18" s="1"/>
      <c r="E18" s="1"/>
      <c r="F18" s="1"/>
      <c r="G18" s="1"/>
      <c r="H18" s="1"/>
      <c r="I18" s="1"/>
    </row>
    <row r="19" spans="1:9">
      <c r="A19" s="1"/>
      <c r="B19" s="1"/>
      <c r="C19" s="1"/>
      <c r="D19" s="1"/>
      <c r="E19" s="1"/>
      <c r="F19" s="1"/>
      <c r="G19" s="1"/>
      <c r="H19" s="1"/>
      <c r="I19" s="1"/>
    </row>
    <row r="20" spans="1:9">
      <c r="A20" s="1"/>
      <c r="B20" s="1"/>
      <c r="C20" s="1"/>
      <c r="D20" s="1"/>
      <c r="E20" s="1"/>
      <c r="F20" s="1"/>
      <c r="G20" s="1"/>
      <c r="H20" s="1"/>
      <c r="I20" s="1"/>
    </row>
    <row r="21" spans="1:9">
      <c r="A21" s="1"/>
      <c r="B21" s="1"/>
      <c r="C21" s="1"/>
      <c r="D21" s="1"/>
      <c r="E21" s="1"/>
      <c r="F21" s="1"/>
      <c r="G21" s="1"/>
      <c r="H21" s="1"/>
      <c r="I21" s="1"/>
    </row>
    <row r="22" spans="1:9">
      <c r="A22" s="1"/>
      <c r="B22" s="1"/>
      <c r="C22" s="1"/>
      <c r="D22" s="1"/>
      <c r="E22" s="1"/>
      <c r="F22" s="1"/>
      <c r="G22" s="1"/>
      <c r="H22" s="1"/>
      <c r="I22" s="1"/>
    </row>
    <row r="23" spans="1:9">
      <c r="A23" s="1"/>
      <c r="B23" s="1"/>
      <c r="C23" s="1"/>
      <c r="D23" s="1"/>
      <c r="E23" s="1"/>
      <c r="F23" s="1"/>
      <c r="G23" s="1"/>
      <c r="H23" s="1"/>
      <c r="I23" s="1"/>
    </row>
    <row r="24" spans="1:9">
      <c r="A24" s="1"/>
      <c r="B24" s="1"/>
      <c r="C24" s="1"/>
      <c r="D24" s="1"/>
      <c r="E24" s="1"/>
      <c r="F24" s="1"/>
      <c r="G24" s="1"/>
      <c r="H24" s="1"/>
      <c r="I24" s="1"/>
    </row>
    <row r="25" spans="1:9">
      <c r="A25" s="1"/>
      <c r="B25" s="1"/>
      <c r="C25" s="1"/>
      <c r="D25" s="1"/>
      <c r="E25" s="1"/>
      <c r="F25" s="1"/>
      <c r="G25" s="1"/>
      <c r="H25" s="1"/>
      <c r="I25" s="1"/>
    </row>
    <row r="26" spans="1:9">
      <c r="A26" s="1"/>
      <c r="B26" s="1"/>
      <c r="C26" s="1"/>
      <c r="D26" s="1"/>
      <c r="E26" s="1"/>
      <c r="F26" s="1"/>
      <c r="G26" s="1"/>
      <c r="H26" s="1"/>
      <c r="I26" s="1"/>
    </row>
    <row r="27" spans="1:9">
      <c r="A27" s="1"/>
      <c r="B27" s="1"/>
      <c r="C27" s="1"/>
      <c r="D27" s="1"/>
      <c r="E27" s="1"/>
      <c r="F27" s="1"/>
      <c r="G27" s="1"/>
      <c r="H27" s="1"/>
      <c r="I27" s="1"/>
    </row>
    <row r="28" spans="1:9">
      <c r="A28" s="1"/>
      <c r="B28" s="1"/>
      <c r="C28" s="1"/>
      <c r="D28" s="1"/>
      <c r="E28" s="1"/>
      <c r="F28" s="1"/>
      <c r="G28" s="1"/>
      <c r="H28" s="1"/>
      <c r="I28" s="1"/>
    </row>
    <row r="29" spans="1:9">
      <c r="A29" s="1"/>
      <c r="B29" s="1"/>
      <c r="C29" s="1"/>
      <c r="D29" s="1"/>
      <c r="E29" s="1"/>
      <c r="F29" s="1"/>
      <c r="G29" s="1"/>
      <c r="H29" s="1"/>
      <c r="I29" s="1"/>
    </row>
    <row r="30" spans="1:9">
      <c r="A30" s="1"/>
      <c r="B30" s="1"/>
      <c r="C30" s="1"/>
      <c r="D30" s="1"/>
      <c r="E30" s="1"/>
      <c r="F30" s="1"/>
      <c r="G30" s="1"/>
      <c r="H30" s="1"/>
      <c r="I30" s="1"/>
    </row>
    <row r="31" spans="1:9">
      <c r="A31" s="1"/>
      <c r="B31" s="1"/>
      <c r="C31" s="1"/>
      <c r="D31" s="1"/>
      <c r="E31" s="1"/>
      <c r="F31" s="1"/>
      <c r="G31" s="1"/>
      <c r="H31" s="1"/>
      <c r="I31" s="1"/>
    </row>
    <row r="32" spans="1:9">
      <c r="A32" s="1"/>
      <c r="B32" s="1"/>
      <c r="C32" s="1"/>
      <c r="D32" s="1"/>
      <c r="E32" s="1"/>
      <c r="F32" s="1"/>
      <c r="G32" s="1"/>
      <c r="H32" s="1"/>
      <c r="I32" s="1"/>
    </row>
    <row r="33" spans="1:9">
      <c r="A33" s="1"/>
      <c r="B33" s="1"/>
      <c r="C33" s="1"/>
      <c r="D33" s="1"/>
      <c r="E33" s="1"/>
      <c r="F33" s="1"/>
      <c r="G33" s="1"/>
      <c r="H33" s="1"/>
      <c r="I33" s="1"/>
    </row>
    <row r="34" spans="1:9">
      <c r="A34" s="1"/>
      <c r="B34" s="1"/>
      <c r="C34" s="1"/>
      <c r="D34" s="1"/>
      <c r="E34" s="1"/>
      <c r="F34" s="1"/>
      <c r="G34" s="1"/>
      <c r="H34" s="1"/>
      <c r="I34" s="1"/>
    </row>
    <row r="35" spans="1:9">
      <c r="A35" s="1"/>
      <c r="B35" s="1"/>
      <c r="C35" s="1"/>
      <c r="D35" s="1"/>
      <c r="E35" s="1"/>
      <c r="F35" s="1"/>
      <c r="G35" s="1"/>
      <c r="H35" s="1"/>
      <c r="I35" s="1"/>
    </row>
    <row r="36" spans="1:9">
      <c r="A36" s="1"/>
      <c r="B36" s="1"/>
      <c r="C36" s="1"/>
      <c r="D36" s="1"/>
      <c r="E36" s="1"/>
      <c r="F36" s="1"/>
      <c r="G36" s="1"/>
      <c r="H36" s="1"/>
      <c r="I36" s="1"/>
    </row>
    <row r="37" spans="1:9">
      <c r="A37" s="1"/>
      <c r="B37" s="1"/>
      <c r="C37" s="1"/>
      <c r="D37" s="1"/>
      <c r="E37" s="1"/>
      <c r="F37" s="1"/>
      <c r="G37" s="1"/>
      <c r="H37" s="1"/>
      <c r="I37" s="1"/>
    </row>
    <row r="38" spans="1:9">
      <c r="A38" s="1"/>
      <c r="B38" s="1"/>
      <c r="C38" s="1"/>
      <c r="D38" s="1"/>
      <c r="E38" s="1"/>
      <c r="F38" s="1"/>
      <c r="G38" s="1"/>
      <c r="H38" s="1"/>
      <c r="I38" s="1"/>
    </row>
  </sheetData>
  <pageMargins left="0.75" right="0.75" top="1" bottom="1" header="0.5" footer="0.5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mrayu</dc:creator>
  <cp:lastModifiedBy>mrayu</cp:lastModifiedBy>
  <dcterms:created xsi:type="dcterms:W3CDTF">2026-04-18T12:14:00Z</dcterms:created>
  <dcterms:modified xsi:type="dcterms:W3CDTF">2026-04-22T12:16:42Z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8324C6D9754D40CCAAA2BD3B568CB2D3_11</vt:lpwstr>
  </property>
  <property fmtid="{D5CDD505-2E9C-101B-9397-08002B2CF9AE}" pid="3" name="KSOProductBuildVer">
    <vt:lpwstr>1033-12.1.0.25830</vt:lpwstr>
  </property>
  <property fmtid="{D5CDD505-2E9C-101B-9397-08002B2CF9AE}" pid="4" name="CalculationRule">
    <vt:i4>1</vt:i4>
  </property>
</Properties>
</file>