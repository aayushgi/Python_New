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<sst xmlns="http://schemas.openxmlformats.org/spreadsheetml/2006/main" count="21" uniqueCount="21">
  <si>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Vansh Computer &amp; Acessories</t>
  </si>
  <si>
    <t>Saradpur Sector-45, Near V.K Jeweller</t>
  </si>
  <si>
    <t>Noida Sector-45,UP</t>
  </si>
  <si>
    <t>Invoice</t>
  </si>
  <si>
    <t>Bill No.</t>
  </si>
  <si>
    <t>Date</t>
  </si>
  <si>
    <t>Name:</t>
  </si>
  <si>
    <t>Contact:</t>
  </si>
  <si>
    <t>Address:</t>
  </si>
  <si>
    <t>S.No.</t>
  </si>
  <si>
    <t>Perticulars</t>
  </si>
  <si>
    <t>Rate</t>
  </si>
  <si>
    <t>Quantity</t>
  </si>
  <si>
    <t>Amount</t>
  </si>
  <si>
    <t>Keyboard</t>
  </si>
  <si>
    <t>Laptop</t>
  </si>
  <si>
    <t>Total Amount</t>
  </si>
  <si>
    <t>SGST 9%</t>
  </si>
  <si>
    <t>CGST 9%</t>
  </si>
  <si>
    <t>Grand Total</t>
  </si>
  <si>
    <t>Authorised signature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</si>
</sst>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4"/>
      <color theme="0"/>
      <name val="Arial Black"/>
      <charset val="134"/>
    </font>
    <font>
      <sz val="11"/>
      <color theme="1"/>
      <name val="Arial Rounded MT Bold"/>
      <charset val="134"/>
    </font>
    <font>
      <sz val="11"/>
      <color theme="0"/>
      <name val="Bahnschrift SemiBold"/>
      <charset val="134"/>
    </font>
    <font>
      <sz val="11"/>
      <color theme="1"/>
      <name val="Arial Black"/>
      <charset val="134"/>
    </font>
    <font>
      <b/>
      <sz val="11"/>
      <color theme="1"/>
      <name val="Arial Black"/>
      <charset val="134"/>
    </font>
    <font>
      <sz val="11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1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21" applyNumberFormat="0" applyAlignment="0" applyProtection="0">
      <alignment vertical="center"/>
    </xf>
    <xf numFmtId="0" fontId="16" fillId="7" borderId="22" applyNumberFormat="0" applyAlignment="0" applyProtection="0">
      <alignment vertical="center"/>
    </xf>
    <xf numFmtId="0" fontId="17" fillId="7" borderId="21" applyNumberFormat="0" applyAlignment="0" applyProtection="0">
      <alignment vertical="center"/>
    </xf>
    <xf numFmtId="0" fontId="18" fillId="8" borderId="23" applyNumberFormat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5" fillId="3" borderId="4" xfId="0" applyFont="1" applyFill="1" applyBorder="1">
      <alignment vertical="center"/>
    </xf>
    <xf numFmtId="0" fontId="5" fillId="3" borderId="5" xfId="0" applyFont="1" applyFill="1" applyBorder="1">
      <alignment vertical="center"/>
    </xf>
    <xf numFmtId="0" fontId="5" fillId="3" borderId="6" xfId="0" applyFont="1" applyFill="1" applyBorder="1">
      <alignment vertical="center"/>
    </xf>
    <xf numFmtId="0" fontId="0" fillId="0" borderId="12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6" fillId="0" borderId="5" xfId="0" applyFont="1" applyBorder="1">
      <alignment vertical="center"/>
    </xf>
    <xf numFmtId="0" fontId="0" fillId="0" borderId="6" xfId="0" applyBorder="1">
      <alignment vertical="center"/>
    </xf>
    <xf numFmtId="0" fontId="6" fillId="3" borderId="5" xfId="0" applyFont="1" applyFill="1" applyBorder="1">
      <alignment vertical="center"/>
    </xf>
    <xf numFmtId="0" fontId="0" fillId="3" borderId="6" xfId="0" applyFill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topLeftCell="A10" workbookViewId="0">
      <selection activeCell="E36" sqref="E36"/>
    </sheetView>
  </sheetViews>
  <sheetFormatPr defaultColWidth="8.88888888888889" defaultRowHeight="14.4" outlineLevelCol="4"/>
  <cols>
    <col min="2" max="2" width="14.5555555555556" customWidth="1"/>
    <col min="3" max="3" width="13.5555555555556" customWidth="1"/>
    <col min="4" max="4" width="12.4444444444444" customWidth="1"/>
    <col min="5" max="5" width="31.4444444444444" customWidth="1"/>
  </cols>
  <sheetData>
    <row r="1" ht="21" spans="1:5">
      <c r="A1" s="1" t="s">
        <v>0</v>
      </c>
      <c r="B1" s="2"/>
      <c r="C1" s="2"/>
      <c r="D1" s="2"/>
      <c r="E1" s="3"/>
    </row>
    <row r="2" spans="1:5">
      <c r="A2" s="4" t="s">
        <v>1</v>
      </c>
      <c r="B2" s="5"/>
      <c r="C2" s="5"/>
      <c r="D2" s="5"/>
      <c r="E2" s="6"/>
    </row>
    <row r="3" spans="1:5">
      <c r="A3" s="7" t="s">
        <v>2</v>
      </c>
      <c r="B3" s="8"/>
      <c r="C3" s="8"/>
      <c r="D3" s="8"/>
      <c r="E3" s="9"/>
    </row>
    <row r="4" ht="17.4" spans="1:5">
      <c r="A4" s="10" t="s">
        <v>3</v>
      </c>
      <c r="B4" s="5"/>
      <c r="C4" s="5"/>
      <c r="D4" s="5"/>
      <c r="E4" s="6"/>
    </row>
    <row r="5" spans="1:5">
      <c r="A5" s="11" t="s">
        <v>4</v>
      </c>
      <c r="B5" s="12"/>
      <c r="C5" s="13"/>
      <c r="D5" s="14" t="s">
        <v>5</v>
      </c>
      <c r="E5" s="15"/>
    </row>
    <row r="6" spans="1:5">
      <c r="A6" s="11" t="s">
        <v>6</v>
      </c>
      <c r="B6" s="12"/>
      <c r="C6" s="12"/>
      <c r="D6" s="12"/>
      <c r="E6" s="15"/>
    </row>
    <row r="7" spans="1:5">
      <c r="A7" s="11" t="s">
        <v>7</v>
      </c>
      <c r="B7" s="12"/>
      <c r="C7" s="12"/>
      <c r="D7" s="12"/>
      <c r="E7" s="15"/>
    </row>
    <row r="8" spans="1:5">
      <c r="A8" s="11" t="s">
        <v>8</v>
      </c>
      <c r="B8" s="12"/>
      <c r="C8" s="12"/>
      <c r="D8" s="12"/>
      <c r="E8" s="15"/>
    </row>
    <row r="9" ht="17.4" spans="1:5">
      <c r="A9" s="16" t="s">
        <v>9</v>
      </c>
      <c r="B9" s="17" t="s">
        <v>10</v>
      </c>
      <c r="C9" s="17" t="s">
        <v>11</v>
      </c>
      <c r="D9" s="17" t="s">
        <v>12</v>
      </c>
      <c r="E9" s="18" t="s">
        <v>13</v>
      </c>
    </row>
    <row r="10" spans="1:5">
      <c r="A10" s="19">
        <v>1</v>
      </c>
      <c r="B10" s="20" t="s">
        <v>14</v>
      </c>
      <c r="C10" s="20">
        <v>50000</v>
      </c>
      <c r="D10" s="20">
        <v>1</v>
      </c>
      <c r="E10" s="21">
        <f>IF(NOT(ISBLANK(B10)),(C10*D10),"")</f>
        <v>50000</v>
      </c>
    </row>
    <row r="11" spans="1:5">
      <c r="A11" s="19">
        <v>2</v>
      </c>
      <c r="B11" s="20" t="s">
        <v>15</v>
      </c>
      <c r="C11" s="20">
        <v>450</v>
      </c>
      <c r="D11" s="20">
        <v>7</v>
      </c>
      <c r="E11" s="21">
        <f t="shared" ref="E11:E30" si="0">IF(NOT(ISBLANK(B11)),(C11*D11),"")</f>
        <v>3150</v>
      </c>
    </row>
    <row r="12" spans="1:5">
      <c r="A12" s="19"/>
      <c r="B12" s="20"/>
      <c r="C12" s="20"/>
      <c r="D12" s="20"/>
      <c r="E12" s="21" t="str">
        <f t="shared" si="0"/>
        <v/>
      </c>
    </row>
    <row r="13" spans="1:5">
      <c r="A13" s="19"/>
      <c r="B13" s="20"/>
      <c r="C13" s="20"/>
      <c r="D13" s="20"/>
      <c r="E13" s="21" t="str">
        <f t="shared" si="0"/>
        <v/>
      </c>
    </row>
    <row r="14" spans="1:5">
      <c r="A14" s="19"/>
      <c r="B14" s="20"/>
      <c r="C14" s="20"/>
      <c r="D14" s="20"/>
      <c r="E14" s="21" t="str">
        <f t="shared" si="0"/>
        <v/>
      </c>
    </row>
    <row r="15" spans="1:5">
      <c r="A15" s="19"/>
      <c r="B15" s="20"/>
      <c r="C15" s="20"/>
      <c r="D15" s="20"/>
      <c r="E15" s="21" t="str">
        <f t="shared" si="0"/>
        <v/>
      </c>
    </row>
    <row r="16" spans="1:5">
      <c r="A16" s="19"/>
      <c r="B16" s="20"/>
      <c r="C16" s="20"/>
      <c r="D16" s="20"/>
      <c r="E16" s="21" t="str">
        <f t="shared" si="0"/>
        <v/>
      </c>
    </row>
    <row r="17" spans="1:5">
      <c r="A17" s="19"/>
      <c r="B17" s="20"/>
      <c r="C17" s="20"/>
      <c r="D17" s="20"/>
      <c r="E17" s="21" t="str">
        <f t="shared" si="0"/>
        <v/>
      </c>
    </row>
    <row r="18" spans="1:5">
      <c r="A18" s="19"/>
      <c r="B18" s="20"/>
      <c r="C18" s="20"/>
      <c r="D18" s="20"/>
      <c r="E18" s="21" t="str">
        <f t="shared" si="0"/>
        <v/>
      </c>
    </row>
    <row r="19" spans="1:5">
      <c r="A19" s="19"/>
      <c r="B19" s="20"/>
      <c r="C19" s="20"/>
      <c r="D19" s="20"/>
      <c r="E19" s="21" t="str">
        <f t="shared" si="0"/>
        <v/>
      </c>
    </row>
    <row r="20" spans="1:5">
      <c r="A20" s="19"/>
      <c r="B20" s="20"/>
      <c r="C20" s="20"/>
      <c r="D20" s="20"/>
      <c r="E20" s="21" t="str">
        <f t="shared" si="0"/>
        <v/>
      </c>
    </row>
    <row r="21" spans="1:5">
      <c r="A21" s="19"/>
      <c r="B21" s="20"/>
      <c r="C21" s="20"/>
      <c r="D21" s="20"/>
      <c r="E21" s="21" t="str">
        <f t="shared" si="0"/>
        <v/>
      </c>
    </row>
    <row r="22" spans="1:5">
      <c r="A22" s="19"/>
      <c r="B22" s="20"/>
      <c r="C22" s="20"/>
      <c r="D22" s="20"/>
      <c r="E22" s="21" t="str">
        <f t="shared" si="0"/>
        <v/>
      </c>
    </row>
    <row r="23" spans="1:5">
      <c r="A23" s="19"/>
      <c r="B23" s="20"/>
      <c r="C23" s="20"/>
      <c r="D23" s="20"/>
      <c r="E23" s="21" t="str">
        <f t="shared" si="0"/>
        <v/>
      </c>
    </row>
    <row r="24" spans="1:5">
      <c r="A24" s="19"/>
      <c r="B24" s="20"/>
      <c r="C24" s="20"/>
      <c r="D24" s="20"/>
      <c r="E24" s="21" t="str">
        <f t="shared" si="0"/>
        <v/>
      </c>
    </row>
    <row r="25" spans="1:5">
      <c r="A25" s="19"/>
      <c r="B25" s="20"/>
      <c r="C25" s="20"/>
      <c r="D25" s="20"/>
      <c r="E25" s="21" t="str">
        <f t="shared" si="0"/>
        <v/>
      </c>
    </row>
    <row r="26" spans="1:5">
      <c r="A26" s="19"/>
      <c r="B26" s="20"/>
      <c r="C26" s="20"/>
      <c r="D26" s="20"/>
      <c r="E26" s="21" t="str">
        <f t="shared" si="0"/>
        <v/>
      </c>
    </row>
    <row r="27" spans="1:5">
      <c r="A27" s="19"/>
      <c r="B27" s="20"/>
      <c r="C27" s="20"/>
      <c r="D27" s="20"/>
      <c r="E27" s="21" t="str">
        <f t="shared" si="0"/>
        <v/>
      </c>
    </row>
    <row r="28" spans="1:5">
      <c r="A28" s="19"/>
      <c r="B28" s="20"/>
      <c r="E28" s="21" t="str">
        <f t="shared" si="0"/>
        <v/>
      </c>
    </row>
    <row r="29" spans="1:5">
      <c r="A29" s="19"/>
      <c r="B29" s="20"/>
      <c r="E29" s="21" t="str">
        <f t="shared" si="0"/>
        <v/>
      </c>
    </row>
    <row r="30" spans="1:5">
      <c r="A30" s="19"/>
      <c r="B30" s="20"/>
      <c r="E30" s="21" t="str">
        <f t="shared" si="0"/>
        <v/>
      </c>
    </row>
    <row r="31" spans="1:5">
      <c r="A31" s="19"/>
      <c r="E31" s="21"/>
    </row>
    <row r="32" spans="1:5">
      <c r="A32" s="19"/>
      <c r="E32" s="21"/>
    </row>
    <row r="33" spans="1:5">
      <c r="A33" s="19"/>
      <c r="D33" s="22" t="s">
        <v>16</v>
      </c>
      <c r="E33" s="23">
        <f>IF(NOT(ISBLANK(E10)),SUM(E10:E30),"")</f>
        <v>53150</v>
      </c>
    </row>
    <row r="34" spans="1:5">
      <c r="A34" s="19"/>
      <c r="D34" s="22" t="s">
        <v>17</v>
      </c>
      <c r="E34" s="23">
        <f>IF(NOT(ISBLANK(E10)),SUM(E10:E30)*0.09,"")</f>
        <v>4783.5</v>
      </c>
    </row>
    <row r="35" spans="1:5">
      <c r="A35" s="19"/>
      <c r="D35" s="22" t="s">
        <v>18</v>
      </c>
      <c r="E35" s="23">
        <f>IF(NOT(ISBLANK(E10)),SUM(E10:E30)*0.09,"")</f>
        <v>4783.5</v>
      </c>
    </row>
    <row r="36" spans="1:5">
      <c r="A36" s="19"/>
      <c r="D36" s="24" t="s">
        <v>19</v>
      </c>
      <c r="E36" s="25">
        <f>SUM(E33:E35)</f>
        <v>62717</v>
      </c>
    </row>
    <row r="37" spans="1:5">
      <c r="A37" s="19"/>
      <c r="E37" s="21"/>
    </row>
    <row r="38" spans="1:5">
      <c r="A38" s="19"/>
      <c r="E38" s="21"/>
    </row>
    <row r="39" spans="1:5">
      <c r="A39" s="19"/>
      <c r="E39" s="21"/>
    </row>
    <row r="40" spans="1:5">
      <c r="A40" s="19"/>
      <c r="E40" s="21"/>
    </row>
    <row r="41" spans="1:5">
      <c r="A41" s="19"/>
      <c r="E41" s="21"/>
    </row>
    <row r="42" spans="1:5">
      <c r="A42" s="19"/>
      <c r="E42" s="21"/>
    </row>
    <row r="43" ht="15.15" spans="1:5">
      <c r="A43" s="26"/>
      <c r="B43" s="27"/>
      <c r="C43" s="27"/>
      <c r="D43" s="28" t="s">
        <v>20</v>
      </c>
      <c r="E43" s="29"/>
    </row>
  </sheetData>
  <mergeCells count="5">
    <mergeCell ref="A1:E1"/>
    <mergeCell ref="A2:E2"/>
    <mergeCell ref="A3:E3"/>
    <mergeCell ref="A4:E4"/>
    <mergeCell ref="D43:E43"/>
  </mergeCells>
  <dataValidations count="1">
    <dataValidation type="list" allowBlank="1" showInputMessage="1" showErrorMessage="1" sqref="B10:B30">
      <formula1>"Laptop,Mouse,Keyboard,Moniter,Chrager"</formula1>
    </dataValidation>
  </dataValidation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mrayu</dc:creator>
  <cp:lastModifiedBy>mrayu</cp:lastModifiedBy>
  <dcterms:created xsi:type="dcterms:W3CDTF">2026-04-18T12:14:00Z</dcterms:created>
  <dcterms:modified xsi:type="dcterms:W3CDTF">2026-04-18T13:36:22Z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8324C6D9754D40CCAAA2BD3B568CB2D3_11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