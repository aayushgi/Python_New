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75"/>
  <workbookPr codeName="ThisWorkbook"/>
  <mc:AlternateContent xmlns:mc="http://schemas.openxmlformats.org/markup-compatibility/2006">
    <mc:Choice Requires="x15">
      <x15ac:absPath xmlns:x15ac="http://schemas.microsoft.com/office/spreadsheetml/2010/11/ac" url="C:\spi\Advance Excel\"/>
    </mc:Choice>
  </mc:AlternateContent>
  <xr:revisionPtr revIDLastSave="0" documentId="13_ncr:1_{38F019FA-A335-41C2-AD6E-D92F2A1D7F43}" xr6:coauthVersionLast="36" xr6:coauthVersionMax="36" xr10:uidLastSave="{00000000-0000-0000-0000-000000000000}"/>
  <bookViews>
    <workbookView xWindow="0" yWindow="0" windowWidth="23040" windowHeight="90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2" i="1"/>
  <c r="AD11" i="1"/>
  <c r="AD10" i="1"/>
  <c r="AD9" i="1"/>
  <c r="AD8" i="1"/>
  <c r="AD7" i="1"/>
  <c r="AD6" i="1"/>
  <c r="AD5" i="1"/>
  <c r="AD4" i="1"/>
  <c r="AD3" i="1"/>
  <c r="AD2" i="1"/>
</calcChain>
</file>

<file path=xl/sharedStrings.xml><?xml version="1.0" encoding="utf-8"?>
<sst xmlns="http://schemas.openxmlformats.org/spreadsheetml/2006/main" count="56" uniqueCount="44">
  <si>
    <t>S.No.</t>
  </si>
  <si>
    <t>Employee Name</t>
  </si>
  <si>
    <t>Salary</t>
  </si>
  <si>
    <t>1/3/2026</t>
  </si>
  <si>
    <t>2/3/2026</t>
  </si>
  <si>
    <t>3/3/2026</t>
  </si>
  <si>
    <t>4/3/2026</t>
  </si>
  <si>
    <t>5/3/2026</t>
  </si>
  <si>
    <t>6/3/2026</t>
  </si>
  <si>
    <t>8/3/2026</t>
  </si>
  <si>
    <t>9/3/2026</t>
  </si>
  <si>
    <t>10/3/2026</t>
  </si>
  <si>
    <t>11/3/2026</t>
  </si>
  <si>
    <t>12/3/2026</t>
  </si>
  <si>
    <t>13/3/2026</t>
  </si>
  <si>
    <t>15/3/26</t>
  </si>
  <si>
    <t>16/3/26</t>
  </si>
  <si>
    <t>17/3/26</t>
  </si>
  <si>
    <t>18/3/26</t>
  </si>
  <si>
    <t>19/3/26</t>
  </si>
  <si>
    <t>20/3/26</t>
  </si>
  <si>
    <t>22/3/26</t>
  </si>
  <si>
    <t>23/3/26</t>
  </si>
  <si>
    <t>24/3/26</t>
  </si>
  <si>
    <t>25/3/27</t>
  </si>
  <si>
    <t>26/3/28</t>
  </si>
  <si>
    <t>27/3/28</t>
  </si>
  <si>
    <t>29/3/26</t>
  </si>
  <si>
    <t>30/3/26</t>
  </si>
  <si>
    <t>Total present</t>
  </si>
  <si>
    <t>Salary2</t>
  </si>
  <si>
    <t>Ajay</t>
  </si>
  <si>
    <t>p</t>
  </si>
  <si>
    <t>A</t>
  </si>
  <si>
    <t>Sita</t>
  </si>
  <si>
    <t>P</t>
  </si>
  <si>
    <t>Karan</t>
  </si>
  <si>
    <t>Anju</t>
  </si>
  <si>
    <t>Payal</t>
  </si>
  <si>
    <t>Roshni</t>
  </si>
  <si>
    <t>Abhijeet</t>
  </si>
  <si>
    <t>Ansh</t>
  </si>
  <si>
    <t>Asif</t>
  </si>
  <si>
    <t>Priya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</si>
</sst>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theme="1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4" tint="-0.249977111117893"/>
      </font>
    </dxf>
    <dxf>
      <font>
        <b/>
        <color theme="4" tint="-0.249977111117893"/>
      </font>
    </dxf>
    <dxf>
      <font>
        <b/>
        <color theme="4" tint="-0.249977111117893"/>
      </font>
      <border>
        <top style="thin">
          <color theme="4"/>
        </top>
      </border>
    </dxf>
    <dxf>
      <font>
        <b/>
        <color theme="4" tint="-0.249977111117893"/>
      </font>
      <border>
        <top style="thin">
          <color theme="4"/>
        </top>
        <bottom style="medium">
          <color theme="4"/>
        </bottom>
      </border>
    </dxf>
    <dxf>
      <font>
        <color theme="4" tint="-0.499984740745262"/>
      </font>
      <border>
        <top style="thin">
          <color theme="4"/>
        </top>
        <bottom style="thin">
          <color theme="4"/>
        </bottom>
      </border>
    </dxf>
  </dxfs>
  <tableStyles count="3" defaultTableStyle="TableStylePreset3_Accent1" defaultPivotStyle="PivotStylePreset2_Accent1">
    <tableStyle name="TableStylePreset1_Accent1" pivot="0" count="7" xr9:uid="{A98CE15B-0617-44FD-AA09-9F3C88052951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E11" totalsRowShown="0">
  <autoFilter ref="A1:AE11" xr:uid="{00000000-0009-0000-0100-000001000000}"/>
  <tableColumns count="31">
    <tableColumn id="1" xr3:uid="{00000000-0010-0000-0000-000001000000}" name="S.No."/>
    <tableColumn id="2" xr3:uid="{00000000-0010-0000-0000-000002000000}" name="Employee Name"/>
    <tableColumn id="3" xr3:uid="{00000000-0010-0000-0000-000003000000}" name="Salary"/>
    <tableColumn id="4" xr3:uid="{00000000-0010-0000-0000-000004000000}" name="1/3/2026"/>
    <tableColumn id="5" xr3:uid="{00000000-0010-0000-0000-000005000000}" name="2/3/2026"/>
    <tableColumn id="6" xr3:uid="{00000000-0010-0000-0000-000006000000}" name="3/3/2026"/>
    <tableColumn id="7" xr3:uid="{00000000-0010-0000-0000-000007000000}" name="4/3/2026"/>
    <tableColumn id="8" xr3:uid="{00000000-0010-0000-0000-000008000000}" name="5/3/2026"/>
    <tableColumn id="9" xr3:uid="{00000000-0010-0000-0000-000009000000}" name="6/3/2026"/>
    <tableColumn id="10" xr3:uid="{00000000-0010-0000-0000-00000A000000}" name="8/3/2026"/>
    <tableColumn id="11" xr3:uid="{00000000-0010-0000-0000-00000B000000}" name="9/3/2026"/>
    <tableColumn id="12" xr3:uid="{00000000-0010-0000-0000-00000C000000}" name="10/3/2026"/>
    <tableColumn id="13" xr3:uid="{00000000-0010-0000-0000-00000D000000}" name="11/3/2026"/>
    <tableColumn id="14" xr3:uid="{00000000-0010-0000-0000-00000E000000}" name="12/3/2026"/>
    <tableColumn id="15" xr3:uid="{00000000-0010-0000-0000-00000F000000}" name="13/3/2026"/>
    <tableColumn id="16" xr3:uid="{00000000-0010-0000-0000-000010000000}" name="15/3/26"/>
    <tableColumn id="17" xr3:uid="{00000000-0010-0000-0000-000011000000}" name="16/3/26"/>
    <tableColumn id="18" xr3:uid="{00000000-0010-0000-0000-000012000000}" name="17/3/26"/>
    <tableColumn id="19" xr3:uid="{00000000-0010-0000-0000-000013000000}" name="18/3/26"/>
    <tableColumn id="20" xr3:uid="{00000000-0010-0000-0000-000014000000}" name="19/3/26"/>
    <tableColumn id="21" xr3:uid="{00000000-0010-0000-0000-000015000000}" name="20/3/26"/>
    <tableColumn id="22" xr3:uid="{00000000-0010-0000-0000-000016000000}" name="22/3/26"/>
    <tableColumn id="23" xr3:uid="{00000000-0010-0000-0000-000017000000}" name="23/3/26"/>
    <tableColumn id="24" xr3:uid="{00000000-0010-0000-0000-000018000000}" name="24/3/26"/>
    <tableColumn id="25" xr3:uid="{00000000-0010-0000-0000-000019000000}" name="25/3/27"/>
    <tableColumn id="26" xr3:uid="{00000000-0010-0000-0000-00001A000000}" name="26/3/28"/>
    <tableColumn id="27" xr3:uid="{00000000-0010-0000-0000-00001B000000}" name="27/3/28"/>
    <tableColumn id="28" xr3:uid="{00000000-0010-0000-0000-00001C000000}" name="29/3/26"/>
    <tableColumn id="29" xr3:uid="{00000000-0010-0000-0000-00001D000000}" name="30/3/26"/>
    <tableColumn id="30" xr3:uid="{00000000-0010-0000-0000-00001E000000}" name="Total present" dataDxfId="1">
      <calculatedColumnFormula>COUNTIF(D2:AC2,"p")</calculatedColumnFormula>
    </tableColumn>
    <tableColumn id="31" xr3:uid="{00000000-0010-0000-0000-00001F000000}" name="Salary2" dataDxfId="0">
      <calculatedColumnFormula>(C2/30)*AD2+(C2/30)*4</calculatedColumnFormula>
    </tableColumn>
  </tableColumns>
  <tableStyleInfo name="TableStylePreset1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1"/>
  <sheetViews>
    <sheetView tabSelected="1" topLeftCell="C1" zoomScale="75" zoomScaleNormal="75" workbookViewId="0">
      <selection activeCell="R24" sqref="R24"/>
    </sheetView>
  </sheetViews>
  <sheetFormatPr defaultColWidth="8.88671875" defaultRowHeight="14.4"/>
  <cols>
    <col min="2" max="2" width="17.33203125" customWidth="1"/>
    <col min="4" max="11" width="9.21875"/>
    <col min="12" max="14" width="10.21875"/>
    <col min="15" max="15" width="9.21875"/>
    <col min="30" max="30" width="13" customWidth="1"/>
    <col min="31" max="31" width="12.88671875"/>
  </cols>
  <sheetData>
    <row r="1" spans="1:3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s="1" t="s">
        <v>29</v>
      </c>
      <c r="AE1" s="1" t="s">
        <v>30</v>
      </c>
    </row>
    <row r="2" spans="1:31">
      <c r="A2">
        <v>1</v>
      </c>
      <c r="B2" t="s">
        <v>31</v>
      </c>
      <c r="C2">
        <v>55000</v>
      </c>
      <c r="E2" t="s">
        <v>32</v>
      </c>
      <c r="F2" t="s">
        <v>33</v>
      </c>
      <c r="AD2" s="3">
        <f>COUNTIF(D2:AC2,"p")</f>
        <v>1</v>
      </c>
      <c r="AE2" s="3">
        <f>(C2/30)*AD2+(C2/30)*4</f>
        <v>9166.6666666666661</v>
      </c>
    </row>
    <row r="3" spans="1:31">
      <c r="A3">
        <v>2</v>
      </c>
      <c r="B3" t="s">
        <v>34</v>
      </c>
      <c r="C3">
        <v>45000</v>
      </c>
      <c r="E3" t="s">
        <v>35</v>
      </c>
      <c r="F3" t="s">
        <v>35</v>
      </c>
      <c r="AD3" s="3">
        <f t="shared" ref="AD3:AD11" si="0">COUNTIF(D3:AC3,"p")</f>
        <v>2</v>
      </c>
      <c r="AE3" s="3">
        <f t="shared" ref="AE3:AE11" si="1">(C3/30)*AD3+(C3/30)*4</f>
        <v>9000</v>
      </c>
    </row>
    <row r="4" spans="1:31">
      <c r="A4">
        <v>3</v>
      </c>
      <c r="B4" t="s">
        <v>36</v>
      </c>
      <c r="C4">
        <v>30000</v>
      </c>
      <c r="E4" t="s">
        <v>33</v>
      </c>
      <c r="F4" t="s">
        <v>35</v>
      </c>
      <c r="AD4" s="3">
        <f t="shared" si="0"/>
        <v>1</v>
      </c>
      <c r="AE4" s="3">
        <f t="shared" si="1"/>
        <v>5000</v>
      </c>
    </row>
    <row r="5" spans="1:31">
      <c r="A5">
        <v>4</v>
      </c>
      <c r="B5" t="s">
        <v>37</v>
      </c>
      <c r="C5">
        <v>40000</v>
      </c>
      <c r="E5" t="s">
        <v>32</v>
      </c>
      <c r="G5" t="s">
        <v>32</v>
      </c>
      <c r="N5" t="s">
        <v>32</v>
      </c>
      <c r="AD5" s="3">
        <f t="shared" si="0"/>
        <v>3</v>
      </c>
      <c r="AE5" s="3">
        <f t="shared" si="1"/>
        <v>9333.3333333333321</v>
      </c>
    </row>
    <row r="6" spans="1:31">
      <c r="A6">
        <v>5</v>
      </c>
      <c r="B6" t="s">
        <v>38</v>
      </c>
      <c r="C6">
        <v>25000</v>
      </c>
      <c r="E6" t="s">
        <v>35</v>
      </c>
      <c r="AD6" s="3">
        <f t="shared" si="0"/>
        <v>1</v>
      </c>
      <c r="AE6" s="3">
        <f t="shared" si="1"/>
        <v>4166.666666666667</v>
      </c>
    </row>
    <row r="7" spans="1:31">
      <c r="A7">
        <v>6</v>
      </c>
      <c r="B7" t="s">
        <v>39</v>
      </c>
      <c r="C7">
        <v>60000</v>
      </c>
      <c r="E7" t="s">
        <v>35</v>
      </c>
      <c r="AD7" s="3">
        <f t="shared" si="0"/>
        <v>1</v>
      </c>
      <c r="AE7" s="3">
        <f t="shared" si="1"/>
        <v>10000</v>
      </c>
    </row>
    <row r="8" spans="1:31">
      <c r="A8">
        <v>7</v>
      </c>
      <c r="B8" t="s">
        <v>40</v>
      </c>
      <c r="C8">
        <v>35000</v>
      </c>
      <c r="E8" t="s">
        <v>35</v>
      </c>
      <c r="AD8" s="3">
        <f t="shared" si="0"/>
        <v>1</v>
      </c>
      <c r="AE8" s="3">
        <f t="shared" si="1"/>
        <v>5833.3333333333339</v>
      </c>
    </row>
    <row r="9" spans="1:31">
      <c r="A9">
        <v>8</v>
      </c>
      <c r="B9" t="s">
        <v>41</v>
      </c>
      <c r="C9">
        <v>36000</v>
      </c>
      <c r="E9" t="s">
        <v>35</v>
      </c>
      <c r="AD9" s="3">
        <f t="shared" si="0"/>
        <v>1</v>
      </c>
      <c r="AE9" s="3">
        <f t="shared" si="1"/>
        <v>6000</v>
      </c>
    </row>
    <row r="10" spans="1:31">
      <c r="A10">
        <v>9</v>
      </c>
      <c r="B10" t="s">
        <v>42</v>
      </c>
      <c r="C10">
        <v>65000</v>
      </c>
      <c r="E10" t="s">
        <v>33</v>
      </c>
      <c r="AD10" s="3">
        <f t="shared" si="0"/>
        <v>0</v>
      </c>
      <c r="AE10" s="3">
        <f t="shared" si="1"/>
        <v>8666.6666666666661</v>
      </c>
    </row>
    <row r="11" spans="1:31">
      <c r="A11">
        <v>10</v>
      </c>
      <c r="B11" t="s">
        <v>43</v>
      </c>
      <c r="C11">
        <v>42000</v>
      </c>
      <c r="E11" t="s">
        <v>35</v>
      </c>
      <c r="AD11" s="3">
        <f t="shared" si="0"/>
        <v>1</v>
      </c>
      <c r="AE11" s="3">
        <f t="shared" si="1"/>
        <v>7000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mrayu</dc:creator>
  <cp:lastModifiedBy>ayush saxena</cp:lastModifiedBy>
  <dcterms:created xsi:type="dcterms:W3CDTF">2026-04-22T12:16:51Z</dcterms:created>
  <dcterms:modified xsi:type="dcterms:W3CDTF">2026-04-22T17:11:36Z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072C6C6EF88B4CBCA206B8425DEEEB78_11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1</vt:i4>
  </property>
</Properties>
</file>