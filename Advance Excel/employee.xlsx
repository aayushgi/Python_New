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3040" windowHeight="90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<sst xmlns="http://schemas.openxmlformats.org/spreadsheetml/2006/main" count="57" uniqueCount="45">
  <si>
    <t>S.No.</t>
  </si>
  <si>
    <t>Employee Name</t>
  </si>
  <si>
    <t>Salary</t>
  </si>
  <si>
    <t>1/3/2026</t>
  </si>
  <si>
    <t>2/3/2026</t>
  </si>
  <si>
    <t>3/3/2026</t>
  </si>
  <si>
    <t>4/3/2026</t>
  </si>
  <si>
    <t>5/3/2026</t>
  </si>
  <si>
    <t>6/3/2026</t>
  </si>
  <si>
    <t>8/3/2026</t>
  </si>
  <si>
    <t>9/3/2026</t>
  </si>
  <si>
    <t>10/3/2026</t>
  </si>
  <si>
    <t>11/3/2026</t>
  </si>
  <si>
    <t>12/3/2026</t>
  </si>
  <si>
    <t>13/3/2026</t>
  </si>
  <si>
    <t>15/3/26</t>
  </si>
  <si>
    <t>16/3/26</t>
  </si>
  <si>
    <t>17/3/26</t>
  </si>
  <si>
    <t>18/3/26</t>
  </si>
  <si>
    <t>19/3/26</t>
  </si>
  <si>
    <t>20/3/26</t>
  </si>
  <si>
    <t>22/3/26</t>
  </si>
  <si>
    <t>23/3/26</t>
  </si>
  <si>
    <t>24/3/26</t>
  </si>
  <si>
    <t>25/3/27</t>
  </si>
  <si>
    <t>26/3/28</t>
  </si>
  <si>
    <t>27/3/28</t>
  </si>
  <si>
    <t>29/3/26</t>
  </si>
  <si>
    <t>30/3/26</t>
  </si>
  <si>
    <t>Total present</t>
  </si>
  <si>
    <t>Salary2</t>
  </si>
  <si>
    <t>Ajay</t>
  </si>
  <si>
    <t>p</t>
  </si>
  <si>
    <t>A</t>
  </si>
  <si>
    <t>Sita</t>
  </si>
  <si>
    <t>P</t>
  </si>
  <si>
    <t>=(AA25(C3/30)*AD3)-</t>
  </si>
  <si>
    <t>Karan</t>
  </si>
  <si>
    <t>Anju</t>
  </si>
  <si>
    <t>Payal</t>
  </si>
  <si>
    <t>Roshni</t>
  </si>
  <si>
    <t>Abhijeet</t>
  </si>
  <si>
    <t>Ansh</t>
  </si>
  <si>
    <t>Asif</t>
  </si>
  <si>
    <t>Priya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</si>
</sst>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1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1" fillId="0" borderId="0" xfId="0" applyFont="1">
      <alignment vertical="center"/>
    </xf>
    <xf numFmtId="58" fontId="0" fillId="0" borderId="0" xfId="0" applyNumberFormat="1">
      <alignment vertical="center"/>
    </xf>
    <xf numFmtId="0" fontId="0" fillId="0" borderId="0" xfId="0" applyNumberFormat="1">
      <alignment vertical="center"/>
    </xf>
    <xf numFmtId="0" fontId="0" fillId="0" borderId="0" xfId="0" applyNumberFormat="1" quotePrefix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26">
    <dxf>
      <numFmt numFmtId="0" formatCode="General"/>
    </dxf>
    <dxf>
      <numFmt numFmtId="0" formatCode="General"/>
    </dxf>
    <dxf>
      <fill>
        <patternFill patternType="solid">
          <fgColor theme="1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4" tint="-0.249977111117893"/>
      </font>
    </dxf>
    <dxf>
      <font>
        <b val="1"/>
        <color theme="4" tint="-0.249977111117893"/>
      </font>
    </dxf>
    <dxf>
      <font>
        <b val="1"/>
        <color theme="4" tint="-0.249977111117893"/>
      </font>
      <border>
        <top style="thin">
          <color theme="4"/>
        </top>
      </border>
    </dxf>
    <dxf>
      <font>
        <b val="1"/>
        <color theme="4" tint="-0.249977111117893"/>
      </font>
      <border>
        <top style="thin">
          <color theme="4"/>
        </top>
        <bottom style="medium">
          <color theme="4"/>
        </bottom>
      </border>
    </dxf>
    <dxf>
      <font>
        <color theme="4" tint="-0.499984740745262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3" defaultTableStyle="TableStylePreset3_Accent1" defaultPivotStyle="PivotStylePreset2_Accent1">
    <tableStyle name="TableStylePreset1_Accent1" pivot="0" count="7" xr9:uid="{A98CE15B-0617-44FD-AA09-9F3C88052951}">
      <tableStyleElement type="wholeTable" dxfId="8"/>
      <tableStyleElement type="headerRow" dxfId="7"/>
      <tableStyleElement type="totalRow" dxfId="6"/>
      <tableStyleElement type="firstColumn" dxfId="5"/>
      <tableStyleElement type="lastColumn" dxfId="4"/>
      <tableStyleElement type="firstRowStripe" dxfId="3"/>
      <tableStyleElement type="firstColumnStripe" dxfId="2"/>
    </tableStyle>
    <tableStyle name="TableStylePreset3_Accent1" pivot="0" count="7" xr9:uid="{59DB682C-5494-4EDE-A608-00C9E5F0F923}">
      <tableStyleElement type="wholeTable" dxfId="15"/>
      <tableStyleElement type="headerRow" dxfId="14"/>
      <tableStyleElement type="totalRow" dxfId="13"/>
      <tableStyleElement type="firstColumn" dxfId="12"/>
      <tableStyleElement type="lastColumn" dxfId="11"/>
      <tableStyleElement type="firstRowStripe" dxfId="10"/>
      <tableStyleElement type="firstColumnStripe" dxfId="9"/>
    </tableStyle>
    <tableStyle name="PivotStylePreset2_Accent1" table="0" count="10" xr9:uid="{267968C8-6FFD-4C36-ACC1-9EA1FD1885CA}">
      <tableStyleElement type="headerRow" dxfId="25"/>
      <tableStyleElement type="totalRow" dxfId="24"/>
      <tableStyleElement type="firstRowStripe" dxfId="23"/>
      <tableStyleElement type="firstColumnStripe" dxfId="22"/>
      <tableStyleElement type="firstSubtotalRow" dxfId="21"/>
      <tableStyleElement type="secondSubtotalRow" dxfId="20"/>
      <tableStyleElement type="firstRowSubheading" dxfId="19"/>
      <tableStyleElement type="secondRowSubheading" dxfId="18"/>
      <tableStyleElement type="pageFieldLabels" dxfId="17"/>
      <tableStyleElement type="pageFieldValues" dxfId="16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id="1" name="Table1" displayName="Table1" ref="A1:AE11" totalsRowShown="0">
  <autoFilter xmlns:etc="http://www.wps.cn/officeDocument/2017/etCustomData" ref="A1:AE11" etc:filterBottomFollowUsedRange="0"/>
  <tableColumns count="31">
    <tableColumn id="1" name="S.No."/>
    <tableColumn id="2" name="Employee Name"/>
    <tableColumn id="3" name="Salary"/>
    <tableColumn id="4" name="1/3/2026"/>
    <tableColumn id="5" name="2/3/2026"/>
    <tableColumn id="6" name="3/3/2026"/>
    <tableColumn id="7" name="4/3/2026"/>
    <tableColumn id="8" name="5/3/2026"/>
    <tableColumn id="9" name="6/3/2026"/>
    <tableColumn id="10" name="8/3/2026"/>
    <tableColumn id="11" name="9/3/2026"/>
    <tableColumn id="12" name="10/3/2026"/>
    <tableColumn id="13" name="11/3/2026"/>
    <tableColumn id="14" name="12/3/2026"/>
    <tableColumn id="15" name="13/3/2026"/>
    <tableColumn id="16" name="15/3/26"/>
    <tableColumn id="17" name="16/3/26"/>
    <tableColumn id="18" name="17/3/26"/>
    <tableColumn id="19" name="18/3/26"/>
    <tableColumn id="20" name="19/3/26"/>
    <tableColumn id="21" name="20/3/26"/>
    <tableColumn id="22" name="22/3/26"/>
    <tableColumn id="23" name="23/3/26"/>
    <tableColumn id="24" name="24/3/26"/>
    <tableColumn id="25" name="25/3/27"/>
    <tableColumn id="26" name="26/3/28"/>
    <tableColumn id="27" name="27/3/28"/>
    <tableColumn id="28" name="29/3/26"/>
    <tableColumn id="29" name="30/3/26"/>
    <tableColumn id="30" name="Total present" dataDxfId="0">
      <calculatedColumnFormula>COUNTIF(D2:AC2,"p")</calculatedColumnFormula>
    </tableColumn>
    <tableColumn id="31" name="Salary2" dataDxfId="1">
      <calculatedColumnFormula>(C2/30)*AD2</calculatedColumnFormula>
    </tableColumn>
  </tableColumns>
  <tableStyleInfo name="TableStylePreset1_Accent1" showFirstColumn="0" showLastColumn="0" showRowStripes="1" showColumnStripes="0"/>
</table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E11"/>
  <sheetViews>
    <sheetView tabSelected="1" zoomScale="75" zoomScaleNormal="75" topLeftCell="F1" workbookViewId="0">
      <selection activeCell="AE3" sqref="AE3"/>
    </sheetView>
  </sheetViews>
  <sheetFormatPr defaultColWidth="8.88888888888889" defaultRowHeight="14.4"/>
  <cols>
    <col min="2" max="2" width="17.3333333333333" customWidth="1"/>
    <col min="4" max="11" width="9.22222222222222"/>
    <col min="12" max="14" width="10.2222222222222"/>
    <col min="15" max="15" width="9.22222222222222"/>
    <col min="30" max="30" width="13" customWidth="1"/>
    <col min="31" max="31" width="12.8888888888889"/>
  </cols>
  <sheetData>
    <row r="1" spans="1:31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s="1" t="s">
        <v>29</v>
      </c>
      <c r="AE1" s="1" t="s">
        <v>30</v>
      </c>
    </row>
    <row r="2" spans="1:31">
      <c r="A2">
        <v>1</v>
      </c>
      <c r="B2" t="s">
        <v>31</v>
      </c>
      <c r="C2">
        <v>55000</v>
      </c>
      <c r="E2" t="s">
        <v>32</v>
      </c>
      <c r="F2" t="s">
        <v>33</v>
      </c>
      <c r="AD2" s="3">
        <f>COUNTIF(D2:AC2,"p")</f>
        <v>1</v>
      </c>
      <c r="AE2" s="3">
        <f t="shared" ref="AE2:AE11" si="0">(C2/30)*AD2</f>
        <v>1833.33333333333</v>
      </c>
    </row>
    <row r="3" spans="1:31">
      <c r="A3">
        <v>2</v>
      </c>
      <c r="B3" t="s">
        <v>34</v>
      </c>
      <c r="C3">
        <v>45000</v>
      </c>
      <c r="E3" t="s">
        <v>35</v>
      </c>
      <c r="F3" t="s">
        <v>35</v>
      </c>
      <c r="AD3" s="3">
        <f t="shared" ref="AD3:AD11" si="1">COUNTIF(D3:AC3,"p")</f>
        <v>2</v>
      </c>
      <c r="AE3" s="4" t="s">
        <v>36</v>
      </c>
    </row>
    <row r="4" spans="1:31">
      <c r="A4">
        <v>3</v>
      </c>
      <c r="B4" t="s">
        <v>37</v>
      </c>
      <c r="C4">
        <v>30000</v>
      </c>
      <c r="E4" t="s">
        <v>33</v>
      </c>
      <c r="F4" t="s">
        <v>35</v>
      </c>
      <c r="AD4" s="3">
        <f t="shared" si="1"/>
        <v>1</v>
      </c>
      <c r="AE4" s="3">
        <f t="shared" si="0"/>
        <v>1000</v>
      </c>
    </row>
    <row r="5" spans="1:31">
      <c r="A5">
        <v>4</v>
      </c>
      <c r="B5" t="s">
        <v>38</v>
      </c>
      <c r="C5">
        <v>40000</v>
      </c>
      <c r="E5" t="s">
        <v>32</v>
      </c>
      <c r="G5" t="s">
        <v>32</v>
      </c>
      <c r="N5" t="s">
        <v>32</v>
      </c>
      <c r="AD5" s="3">
        <f t="shared" si="1"/>
        <v>3</v>
      </c>
      <c r="AE5" s="3">
        <f t="shared" si="0"/>
        <v>4000</v>
      </c>
    </row>
    <row r="6" spans="1:31">
      <c r="A6">
        <v>5</v>
      </c>
      <c r="B6" t="s">
        <v>39</v>
      </c>
      <c r="C6">
        <v>25000</v>
      </c>
      <c r="E6" t="s">
        <v>35</v>
      </c>
      <c r="AD6" s="3">
        <f t="shared" si="1"/>
        <v>1</v>
      </c>
      <c r="AE6" s="3">
        <f t="shared" si="0"/>
        <v>833.333333333333</v>
      </c>
    </row>
    <row r="7" spans="1:31">
      <c r="A7">
        <v>6</v>
      </c>
      <c r="B7" t="s">
        <v>40</v>
      </c>
      <c r="C7">
        <v>60000</v>
      </c>
      <c r="E7" t="s">
        <v>35</v>
      </c>
      <c r="AD7" s="3">
        <f t="shared" si="1"/>
        <v>1</v>
      </c>
      <c r="AE7" s="3">
        <f t="shared" si="0"/>
        <v>2000</v>
      </c>
    </row>
    <row r="8" spans="1:31">
      <c r="A8">
        <v>7</v>
      </c>
      <c r="B8" t="s">
        <v>41</v>
      </c>
      <c r="C8">
        <v>35000</v>
      </c>
      <c r="E8" t="s">
        <v>35</v>
      </c>
      <c r="AD8" s="3">
        <f t="shared" si="1"/>
        <v>1</v>
      </c>
      <c r="AE8" s="3">
        <f t="shared" si="0"/>
        <v>1166.66666666667</v>
      </c>
    </row>
    <row r="9" spans="1:31">
      <c r="A9">
        <v>8</v>
      </c>
      <c r="B9" t="s">
        <v>42</v>
      </c>
      <c r="C9">
        <v>36000</v>
      </c>
      <c r="E9" t="s">
        <v>35</v>
      </c>
      <c r="AD9" s="3">
        <f t="shared" si="1"/>
        <v>1</v>
      </c>
      <c r="AE9" s="3">
        <f t="shared" si="0"/>
        <v>1200</v>
      </c>
    </row>
    <row r="10" spans="1:31">
      <c r="A10">
        <v>9</v>
      </c>
      <c r="B10" t="s">
        <v>43</v>
      </c>
      <c r="C10">
        <v>65000</v>
      </c>
      <c r="E10" t="s">
        <v>33</v>
      </c>
      <c r="AD10" s="3">
        <f t="shared" si="1"/>
        <v>0</v>
      </c>
      <c r="AE10" s="3">
        <f t="shared" si="0"/>
        <v>0</v>
      </c>
    </row>
    <row r="11" spans="1:31">
      <c r="A11">
        <v>10</v>
      </c>
      <c r="B11" t="s">
        <v>44</v>
      </c>
      <c r="C11">
        <v>42000</v>
      </c>
      <c r="E11" t="s">
        <v>35</v>
      </c>
      <c r="AD11" s="3">
        <f t="shared" si="1"/>
        <v>1</v>
      </c>
      <c r="AE11" s="3">
        <f t="shared" si="0"/>
        <v>1400</v>
      </c>
    </row>
  </sheetData>
  <pageMargins left="0.75" right="0.75" top="1" bottom="1" header="0.5" footer="0.5"/>
  <headerFooter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mrayu</dc:creator>
  <cp:lastModifiedBy>mrayu</cp:lastModifiedBy>
  <dcterms:created xsi:type="dcterms:W3CDTF">2026-04-22T12:16:51Z</dcterms:created>
  <dcterms:modified xsi:type="dcterms:W3CDTF">2026-04-22T12:58:05Z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072C6C6EF88B4CBCA206B8425DEEEB78_11</vt:lpwstr>
  </property>
  <property fmtid="{D5CDD505-2E9C-101B-9397-08002B2CF9AE}" pid="3" name="KSOProductBuildVer">
    <vt:lpwstr>1033-12.1.0.25830</vt:lpwstr>
  </property>
  <property fmtid="{D5CDD505-2E9C-101B-9397-08002B2CF9AE}" pid="4" name="CalculationRule">
    <vt:i4>1</vt:i4>
  </property>
</Properties>
</file>